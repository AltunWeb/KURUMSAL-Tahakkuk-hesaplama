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m" sheetId="1" state="visible" r:id="rId1"/>
    <sheet xmlns:r="http://schemas.openxmlformats.org/officeDocument/2006/relationships" name="Normal Ek Belge" sheetId="2" state="visible" r:id="rId2"/>
    <sheet xmlns:r="http://schemas.openxmlformats.org/officeDocument/2006/relationships" name="Normal Devam" sheetId="3" state="visible" r:id="rId3"/>
    <sheet xmlns:r="http://schemas.openxmlformats.org/officeDocument/2006/relationships" name="Emekli Ek Belge" sheetId="4" state="visible" r:id="rId4"/>
    <sheet xmlns:r="http://schemas.openxmlformats.org/officeDocument/2006/relationships" name="Emekli Devam" sheetId="5" state="visible" r:id="rId5"/>
    <sheet xmlns:r="http://schemas.openxmlformats.org/officeDocument/2006/relationships" name="Normal Çalışan" sheetId="6" state="visible" r:id="rId6"/>
    <sheet xmlns:r="http://schemas.openxmlformats.org/officeDocument/2006/relationships" name="Emekli Çalışan" sheetId="7" state="visible" r:id="rId7"/>
    <sheet xmlns:r="http://schemas.openxmlformats.org/officeDocument/2006/relationships" name="Engelli Çalışan" sheetId="8" state="visible" r:id="rId8"/>
    <sheet xmlns:r="http://schemas.openxmlformats.org/officeDocument/2006/relationships" name="6111 Teşvik" sheetId="9" state="visible" r:id="rId9"/>
  </sheets>
  <definedNames>
    <definedName name="_xlnm.Print_Area" localSheetId="1">'Normal Ek Belge'!$A$1:$N$32</definedName>
    <definedName name="_xlnm.Print_Area" localSheetId="2">'Normal Devam'!$A$1:$N$37</definedName>
    <definedName name="_xlnm.Print_Area" localSheetId="3">'Emekli Ek Belge'!$A$1:$N$32</definedName>
    <definedName name="_xlnm.Print_Area" localSheetId="4">'Emekli Devam'!$A$1:$N$37</definedName>
    <definedName name="_xlnm._FilterDatabase" localSheetId="5" hidden="1">'Normal Çalışan'!$A$8:$G$58</definedName>
    <definedName name="_xlnm.Print_Area" localSheetId="5">'Normal Çalışan'!$A$1:$L$59</definedName>
    <definedName name="_xlnm._FilterDatabase" localSheetId="6" hidden="1">'Emekli Çalışan'!$A$8:$G$58</definedName>
    <definedName name="_xlnm.Print_Area" localSheetId="6">'Emekli Çalışan'!$A$1:$L$59</definedName>
    <definedName name="_xlnm._FilterDatabase" localSheetId="7" hidden="1">'Engelli Çalışan'!$A$8:$G$58</definedName>
    <definedName name="_xlnm.Print_Area" localSheetId="7">'Engelli Çalışan'!$A$1:$L$67</definedName>
    <definedName name="_xlnm._FilterDatabase" localSheetId="8" hidden="1">'6111 Teşvik'!$A$8:$G$58</definedName>
    <definedName name="_xlnm.Print_Area" localSheetId="8">'6111 Teşvik'!$A$1:$L$59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334D3B"/>
      <sz val="10"/>
    </font>
    <font>
      <name val="Calibri"/>
      <b val="1"/>
      <color rgb="00FFFFFF"/>
      <sz val="10"/>
    </font>
    <font>
      <name val="Calibri"/>
      <b val="1"/>
      <color rgb="00334D3B"/>
      <sz val="10"/>
    </font>
  </fonts>
  <fills count="4">
    <fill>
      <patternFill/>
    </fill>
    <fill>
      <patternFill patternType="gray125"/>
    </fill>
    <fill>
      <patternFill patternType="solid">
        <fgColor rgb="00193F32"/>
      </patternFill>
    </fill>
    <fill>
      <patternFill patternType="solid">
        <fgColor rgb="00F4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H1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TAHAKKUK | Kurumsal Excel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7" customHeight="1">
      <c r="A4" s="3" t="inlineStr">
        <is>
          <t>Çalışma alanı</t>
        </is>
      </c>
      <c r="B4" s="3" t="inlineStr">
        <is>
          <t>Normal, emekli, engelli ve 6111 teşvik sayfaları ayrı hesaplanır.</t>
        </is>
      </c>
      <c r="C4" s="3" t="n"/>
      <c r="D4" s="3" t="n"/>
      <c r="E4" s="3" t="n"/>
      <c r="F4" s="3" t="n"/>
      <c r="G4" s="3" t="n"/>
      <c r="H4" s="3" t="n"/>
    </row>
    <row r="5" ht="37" customHeight="1">
      <c r="A5" s="2" t="inlineStr">
        <is>
          <t>Giriş alanları</t>
        </is>
      </c>
      <c r="B5" s="2" t="inlineStr">
        <is>
          <t>Çalışan tablolarında ücret, ikramiye ve prim gününü düzenleyin. Formüller otomatik hesaplanır.</t>
        </is>
      </c>
      <c r="C5" s="2" t="n"/>
      <c r="D5" s="2" t="n"/>
      <c r="E5" s="2" t="n"/>
      <c r="F5" s="2" t="n"/>
      <c r="G5" s="2" t="n"/>
      <c r="H5" s="2" t="n"/>
    </row>
    <row r="6" ht="37" customHeight="1">
      <c r="A6" s="3" t="inlineStr">
        <is>
          <t>Kazanç kaynağı</t>
        </is>
      </c>
      <c r="B6" s="3" t="inlineStr">
        <is>
          <t>Emekli ve 6111 sayfalarında B4 hücresindeki elle girilen matrah kullanılır.</t>
        </is>
      </c>
      <c r="C6" s="3" t="n"/>
      <c r="D6" s="3" t="n"/>
      <c r="E6" s="3" t="n"/>
      <c r="F6" s="3" t="n"/>
      <c r="G6" s="3" t="n"/>
      <c r="H6" s="3" t="n"/>
    </row>
    <row r="7" ht="37" customHeight="1">
      <c r="A7" s="2" t="inlineStr">
        <is>
          <t>Engelli indirimi</t>
        </is>
      </c>
      <c r="B7" s="2" t="inlineStr">
        <is>
          <t>Kaynak dosyaya uygun olarak 4857 indirimi başlangıçta toplamdan düşülmez. K14 hücresini 1 yaparak uygulayın.</t>
        </is>
      </c>
      <c r="C7" s="2" t="n"/>
      <c r="D7" s="2" t="n"/>
      <c r="E7" s="2" t="n"/>
      <c r="F7" s="2" t="n"/>
      <c r="G7" s="2" t="n"/>
      <c r="H7" s="2" t="n"/>
    </row>
    <row r="8" ht="37" customHeight="1">
      <c r="A8" s="3" t="inlineStr">
        <is>
          <t>Ek çalışan grubu</t>
        </is>
      </c>
      <c r="B8" s="3" t="inlineStr">
        <is>
          <t>Engelli sayfasındaki ek grup başlangıçta matraha dahil değildir. K15 hücresini 1 yaparak dahil edin.</t>
        </is>
      </c>
      <c r="C8" s="3" t="n"/>
      <c r="D8" s="3" t="n"/>
      <c r="E8" s="3" t="n"/>
      <c r="F8" s="3" t="n"/>
      <c r="G8" s="3" t="n"/>
      <c r="H8" s="3" t="n"/>
    </row>
    <row r="9" ht="37" customHeight="1">
      <c r="A9" s="2" t="inlineStr">
        <is>
          <t>Hizmet belgeleri</t>
        </is>
      </c>
      <c r="B9" s="2" t="inlineStr">
        <is>
          <t>Normal/emekli ek belgeleri ile devam sayfalarının kimlik, tarih ve neden kodu alanlarını düzenleyin.</t>
        </is>
      </c>
      <c r="C9" s="2" t="n"/>
      <c r="D9" s="2" t="n"/>
      <c r="E9" s="2" t="n"/>
      <c r="F9" s="2" t="n"/>
      <c r="G9" s="2" t="n"/>
      <c r="H9" s="2" t="n"/>
    </row>
    <row r="10" ht="37" customHeight="1">
      <c r="A10" s="3" t="inlineStr">
        <is>
          <t>Oran farkı</t>
        </is>
      </c>
      <c r="B10" s="3" t="inlineStr">
        <is>
          <t>Normal ek belgede malullük oranı %20, normal hesaplama sayfasında %21 korunmuştur.</t>
        </is>
      </c>
      <c r="C10" s="3" t="n"/>
      <c r="D10" s="3" t="n"/>
      <c r="E10" s="3" t="n"/>
      <c r="F10" s="3" t="n"/>
      <c r="G10" s="3" t="n"/>
      <c r="H10" s="3" t="n"/>
    </row>
    <row r="11" ht="37" customHeight="1">
      <c r="A11" s="2" t="inlineStr">
        <is>
          <t>Resmî kontrol</t>
        </is>
      </c>
      <c r="B11" s="2" t="inlineStr">
        <is>
          <t>Güncel oranları, prim tavanını ve teşvik uygunluğunu ayrıca kontrol edin. Bu dosya SGK’ya gönderim yapmaz.</t>
        </is>
      </c>
      <c r="C11" s="2" t="n"/>
      <c r="D11" s="2" t="n"/>
      <c r="E11" s="2" t="n"/>
      <c r="F11" s="2" t="n"/>
      <c r="G11" s="2" t="n"/>
      <c r="H11" s="2" t="n"/>
    </row>
    <row r="12" ht="37" customHeight="1">
      <c r="A12" s="3" t="inlineStr">
        <is>
          <t>Hesaplama</t>
        </is>
      </c>
      <c r="B12" s="3" t="inlineStr">
        <is>
          <t>Formüllerin sonuçları Excel veya LibreOffice içinde dosya açılınca yeniden hesaplanır.</t>
        </is>
      </c>
      <c r="C12" s="3" t="n"/>
      <c r="D12" s="3" t="n"/>
      <c r="E12" s="3" t="n"/>
      <c r="F12" s="3" t="n"/>
      <c r="G12" s="3" t="n"/>
      <c r="H12" s="3" t="n"/>
    </row>
    <row r="13" ht="37" customHeight="1">
      <c r="A13" s="2" t="inlineStr">
        <is>
          <t>Kaynak kayıtlar</t>
        </is>
      </c>
      <c r="B13" s="2" t="inlineStr">
        <is>
          <t>Paylaştığınız dosyanın dolu kayıtları aktarılmıştır; kimlik alanları metin olarak korunur.</t>
        </is>
      </c>
      <c r="C13" s="2" t="n"/>
      <c r="D13" s="2" t="n"/>
      <c r="E13" s="2" t="n"/>
      <c r="F13" s="2" t="n"/>
      <c r="G13" s="2" t="n"/>
      <c r="H13" s="2" t="n"/>
    </row>
  </sheetData>
  <mergeCells count="11">
    <mergeCell ref="B8:H8"/>
    <mergeCell ref="B9:H9"/>
    <mergeCell ref="B13:H13"/>
    <mergeCell ref="B4:H4"/>
    <mergeCell ref="B12:H12"/>
    <mergeCell ref="B6:H6"/>
    <mergeCell ref="B7:H7"/>
    <mergeCell ref="B10:H10"/>
    <mergeCell ref="B11:H11"/>
    <mergeCell ref="A1:H2"/>
    <mergeCell ref="B5:H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N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8" customWidth="1" min="6" max="6"/>
    <col width="19" customWidth="1" min="7" max="7"/>
    <col width="19" customWidth="1" min="8" max="8"/>
    <col width="17" customWidth="1" min="9" max="9"/>
    <col width="17" customWidth="1" min="10" max="10"/>
    <col width="10" customWidth="1" min="11" max="11"/>
    <col width="13" customWidth="1" min="12" max="12"/>
    <col width="13" customWidth="1" min="13" max="13"/>
    <col width="20" customWidth="1" min="14" max="14"/>
  </cols>
  <sheetData>
    <row r="1" ht="25" customHeight="1">
      <c r="A1" s="1" t="inlineStr">
        <is>
          <t>TAHAKKUK | Normal Ek Belge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İşyeri sicil no</t>
        </is>
      </c>
      <c r="B4" s="3" t="inlineStr">
        <is>
          <t>281210101154751003433</t>
        </is>
      </c>
      <c r="C4" s="3" t="n"/>
      <c r="D4" s="3" t="inlineStr">
        <is>
          <t>Dönem</t>
        </is>
      </c>
      <c r="E4" s="3" t="inlineStr">
        <is>
          <t>2025-01</t>
        </is>
      </c>
      <c r="F4" s="3" t="n"/>
      <c r="G4" s="3" t="inlineStr">
        <is>
          <t>Mahiyeti</t>
        </is>
      </c>
      <c r="H4" s="3" t="inlineStr">
        <is>
          <t>İptal</t>
        </is>
      </c>
      <c r="I4" s="3" t="n"/>
      <c r="J4" s="3" t="n"/>
      <c r="K4" s="3" t="n"/>
      <c r="L4" s="3" t="n"/>
      <c r="M4" s="3" t="n"/>
      <c r="N4" s="3" t="n"/>
    </row>
    <row r="5">
      <c r="A5" s="2" t="inlineStr">
        <is>
          <t>İşveren / ünvan</t>
        </is>
      </c>
      <c r="B5" s="2" t="n"/>
      <c r="C5" s="2" t="n"/>
      <c r="D5" s="2" t="inlineStr">
        <is>
          <t>Belge türü</t>
        </is>
      </c>
      <c r="E5" s="2" t="inlineStr">
        <is>
          <t>01</t>
        </is>
      </c>
      <c r="F5" s="2" t="n"/>
      <c r="G5" s="2" t="inlineStr">
        <is>
          <t>Kanun no</t>
        </is>
      </c>
      <c r="H5" s="2" t="inlineStr">
        <is>
          <t>5510</t>
        </is>
      </c>
      <c r="I5" s="2" t="n"/>
      <c r="J5" s="2" t="n"/>
      <c r="K5" s="2" t="n"/>
      <c r="L5" s="2" t="n"/>
      <c r="M5" s="2" t="n"/>
      <c r="N5" s="2" t="n"/>
    </row>
    <row r="6">
      <c r="A6" s="3" t="inlineStr">
        <is>
          <t>Adres</t>
        </is>
      </c>
      <c r="B6" s="3" t="n"/>
      <c r="C6" s="3" t="n"/>
      <c r="D6" s="3" t="inlineStr">
        <is>
          <t>Telefon / e-posta</t>
        </is>
      </c>
      <c r="E6" s="3" t="n"/>
      <c r="F6" s="3" t="n"/>
      <c r="G6" s="3" t="inlineStr">
        <is>
          <t>Vergi / kimlik no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3" t="inlineStr">
        <is>
          <t>Sıra</t>
        </is>
      </c>
      <c r="B8" s="3" t="inlineStr">
        <is>
          <t>SGK / kimlik no</t>
        </is>
      </c>
      <c r="C8" s="3" t="inlineStr">
        <is>
          <t>Adı</t>
        </is>
      </c>
      <c r="D8" s="3" t="inlineStr">
        <is>
          <t>Soyadı</t>
        </is>
      </c>
      <c r="E8" s="3" t="inlineStr">
        <is>
          <t>İlk soyadı</t>
        </is>
      </c>
      <c r="F8" s="3" t="inlineStr">
        <is>
          <t>Gün</t>
        </is>
      </c>
      <c r="G8" s="3" t="inlineStr">
        <is>
          <t>Ücret</t>
        </is>
      </c>
      <c r="H8" s="3" t="inlineStr">
        <is>
          <t>İkramiye</t>
        </is>
      </c>
      <c r="I8" s="3" t="inlineStr">
        <is>
          <t>Giriş tarihi</t>
        </is>
      </c>
      <c r="J8" s="3" t="inlineStr">
        <is>
          <t>Çıkış tarihi</t>
        </is>
      </c>
      <c r="K8" s="3" t="inlineStr">
        <is>
          <t>Eksik gün</t>
        </is>
      </c>
      <c r="L8" s="3" t="inlineStr">
        <is>
          <t>Neden kodu</t>
        </is>
      </c>
      <c r="M8" s="3" t="inlineStr">
        <is>
          <t>Çıkış nedeni</t>
        </is>
      </c>
      <c r="N8" s="3" t="inlineStr">
        <is>
          <t>Kazanç</t>
        </is>
      </c>
    </row>
    <row r="9">
      <c r="A9" s="2" t="n">
        <v>1</v>
      </c>
      <c r="B9" s="4" t="inlineStr">
        <is>
          <t>28265018608</t>
        </is>
      </c>
      <c r="C9" s="2" t="inlineStr">
        <is>
          <t>ÖNDER</t>
        </is>
      </c>
      <c r="D9" s="2" t="inlineStr">
        <is>
          <t>KAYA</t>
        </is>
      </c>
      <c r="E9" s="2" t="inlineStr"/>
      <c r="F9" s="2" t="n">
        <v>29</v>
      </c>
      <c r="G9" s="5" t="n">
        <v>25138.65</v>
      </c>
      <c r="H9" s="5" t="n">
        <v>0</v>
      </c>
      <c r="I9" s="2" t="inlineStr">
        <is>
          <t>2025-01-01</t>
        </is>
      </c>
      <c r="J9" s="2" t="inlineStr"/>
      <c r="K9" s="2" t="n">
        <v>0</v>
      </c>
      <c r="L9" s="2" t="inlineStr">
        <is>
          <t>21</t>
        </is>
      </c>
      <c r="M9" s="2" t="inlineStr"/>
      <c r="N9" s="6">
        <f>G9+H9</f>
        <v/>
      </c>
    </row>
    <row r="10">
      <c r="A10" s="3" t="n">
        <v>2</v>
      </c>
      <c r="B10" s="7" t="inlineStr"/>
      <c r="C10" s="3" t="inlineStr"/>
      <c r="D10" s="3" t="inlineStr"/>
      <c r="E10" s="3" t="inlineStr"/>
      <c r="F10" s="3" t="n">
        <v>0</v>
      </c>
      <c r="G10" s="8" t="n">
        <v>0</v>
      </c>
      <c r="H10" s="8" t="n">
        <v>0</v>
      </c>
      <c r="I10" s="3" t="inlineStr"/>
      <c r="J10" s="3" t="inlineStr"/>
      <c r="K10" s="3" t="n">
        <v>0</v>
      </c>
      <c r="L10" s="3" t="inlineStr"/>
      <c r="M10" s="3" t="inlineStr"/>
      <c r="N10" s="9">
        <f>G10+H10</f>
        <v/>
      </c>
    </row>
    <row r="11">
      <c r="A11" s="2" t="n">
        <v>3</v>
      </c>
      <c r="B11" s="4" t="inlineStr"/>
      <c r="C11" s="2" t="inlineStr"/>
      <c r="D11" s="2" t="inlineStr"/>
      <c r="E11" s="2" t="inlineStr"/>
      <c r="F11" s="2" t="n">
        <v>0</v>
      </c>
      <c r="G11" s="5" t="n">
        <v>0</v>
      </c>
      <c r="H11" s="5" t="n">
        <v>0</v>
      </c>
      <c r="I11" s="2" t="inlineStr"/>
      <c r="J11" s="2" t="inlineStr"/>
      <c r="K11" s="2" t="n">
        <v>0</v>
      </c>
      <c r="L11" s="2" t="inlineStr"/>
      <c r="M11" s="2" t="inlineStr"/>
      <c r="N11" s="6">
        <f>G11+H11</f>
        <v/>
      </c>
    </row>
    <row r="12">
      <c r="A12" s="3" t="n">
        <v>4</v>
      </c>
      <c r="B12" s="7" t="inlineStr"/>
      <c r="C12" s="3" t="inlineStr"/>
      <c r="D12" s="3" t="inlineStr"/>
      <c r="E12" s="3" t="inlineStr"/>
      <c r="F12" s="3" t="n">
        <v>0</v>
      </c>
      <c r="G12" s="8" t="n">
        <v>0</v>
      </c>
      <c r="H12" s="8" t="n">
        <v>0</v>
      </c>
      <c r="I12" s="3" t="inlineStr"/>
      <c r="J12" s="3" t="inlineStr"/>
      <c r="K12" s="3" t="n">
        <v>0</v>
      </c>
      <c r="L12" s="3" t="inlineStr"/>
      <c r="M12" s="3" t="inlineStr"/>
      <c r="N12" s="9">
        <f>G12+H12</f>
        <v/>
      </c>
    </row>
    <row r="13">
      <c r="A13" s="2" t="n">
        <v>5</v>
      </c>
      <c r="B13" s="4" t="inlineStr"/>
      <c r="C13" s="2" t="inlineStr"/>
      <c r="D13" s="2" t="inlineStr"/>
      <c r="E13" s="2" t="inlineStr"/>
      <c r="F13" s="2" t="n">
        <v>0</v>
      </c>
      <c r="G13" s="5" t="n">
        <v>0</v>
      </c>
      <c r="H13" s="5" t="n">
        <v>0</v>
      </c>
      <c r="I13" s="2" t="inlineStr"/>
      <c r="J13" s="2" t="inlineStr"/>
      <c r="K13" s="2" t="n">
        <v>0</v>
      </c>
      <c r="L13" s="2" t="inlineStr"/>
      <c r="M13" s="2" t="inlineStr"/>
      <c r="N13" s="6">
        <f>G13+H13</f>
        <v/>
      </c>
    </row>
    <row r="14">
      <c r="A14" s="3" t="n">
        <v>6</v>
      </c>
      <c r="B14" s="7" t="inlineStr"/>
      <c r="C14" s="3" t="inlineStr"/>
      <c r="D14" s="3" t="inlineStr"/>
      <c r="E14" s="3" t="inlineStr"/>
      <c r="F14" s="3" t="n">
        <v>0</v>
      </c>
      <c r="G14" s="8" t="n">
        <v>0</v>
      </c>
      <c r="H14" s="8" t="n">
        <v>0</v>
      </c>
      <c r="I14" s="3" t="inlineStr"/>
      <c r="J14" s="3" t="inlineStr"/>
      <c r="K14" s="3" t="n">
        <v>0</v>
      </c>
      <c r="L14" s="3" t="inlineStr"/>
      <c r="M14" s="3" t="inlineStr"/>
      <c r="N14" s="9">
        <f>G14+H14</f>
        <v/>
      </c>
    </row>
    <row r="15">
      <c r="A15" s="2" t="n">
        <v>7</v>
      </c>
      <c r="B15" s="4" t="inlineStr"/>
      <c r="C15" s="2" t="inlineStr"/>
      <c r="D15" s="2" t="inlineStr"/>
      <c r="E15" s="2" t="inlineStr"/>
      <c r="F15" s="2" t="n">
        <v>0</v>
      </c>
      <c r="G15" s="5" t="n">
        <v>0</v>
      </c>
      <c r="H15" s="5" t="n">
        <v>0</v>
      </c>
      <c r="I15" s="2" t="inlineStr"/>
      <c r="J15" s="2" t="inlineStr"/>
      <c r="K15" s="2" t="n">
        <v>0</v>
      </c>
      <c r="L15" s="2" t="inlineStr"/>
      <c r="M15" s="2" t="inlineStr"/>
      <c r="N15" s="6">
        <f>G15+H15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inlineStr">
        <is>
          <t>BU SAYFANIN TOPLAMI</t>
        </is>
      </c>
      <c r="B17" s="2" t="n"/>
      <c r="C17" s="2" t="n"/>
      <c r="D17" s="2" t="n"/>
      <c r="E17" s="2" t="n"/>
      <c r="F17" s="10">
        <f>SUM(F9:F15)</f>
        <v/>
      </c>
      <c r="G17" s="10">
        <f>SUM(G9:G15)</f>
        <v/>
      </c>
      <c r="H17" s="10">
        <f>SUM(H9:H15)</f>
        <v/>
      </c>
      <c r="I17" s="2" t="n"/>
      <c r="J17" s="2" t="n"/>
      <c r="K17" s="2" t="n"/>
      <c r="L17" s="2" t="n"/>
      <c r="M17" s="2" t="n"/>
      <c r="N17" s="10">
        <f>SUM(N9:N15)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inlineStr">
        <is>
          <t>Sigorta kolu</t>
        </is>
      </c>
      <c r="B19" s="2" t="n"/>
      <c r="C19" s="2" t="n"/>
      <c r="D19" s="2" t="n"/>
      <c r="E19" s="2" t="n"/>
      <c r="F19" s="2" t="n"/>
      <c r="G19" s="2" t="inlineStr">
        <is>
          <t>Oran (%)</t>
        </is>
      </c>
      <c r="H19" s="2" t="inlineStr">
        <is>
          <t>Prim tutarı</t>
        </is>
      </c>
      <c r="I19" s="2" t="n"/>
      <c r="J19" s="2" t="n"/>
      <c r="K19" s="2" t="n"/>
      <c r="L19" s="2" t="n"/>
      <c r="M19" s="2" t="n"/>
      <c r="N19" s="2" t="n"/>
    </row>
    <row r="20">
      <c r="A20" s="3" t="inlineStr">
        <is>
          <t>Kısa vadeli sigorta</t>
        </is>
      </c>
      <c r="B20" s="3" t="n"/>
      <c r="C20" s="3" t="n"/>
      <c r="D20" s="3" t="n"/>
      <c r="E20" s="3" t="n"/>
      <c r="F20" s="3" t="n"/>
      <c r="G20" s="3" t="n">
        <v>2.25</v>
      </c>
      <c r="H20" s="9">
        <f>('Normal Devam'!N37)*G20/100</f>
        <v/>
      </c>
      <c r="I20" s="3" t="n"/>
      <c r="J20" s="3" t="n"/>
      <c r="K20" s="3" t="n"/>
      <c r="L20" s="3" t="n"/>
      <c r="M20" s="3" t="n"/>
      <c r="N20" s="3" t="n"/>
    </row>
    <row r="21">
      <c r="A21" s="2" t="inlineStr">
        <is>
          <t>Malullük / yaşlılık / ölüm</t>
        </is>
      </c>
      <c r="B21" s="2" t="n"/>
      <c r="C21" s="2" t="n"/>
      <c r="D21" s="2" t="n"/>
      <c r="E21" s="2" t="n"/>
      <c r="F21" s="2" t="n"/>
      <c r="G21" s="2" t="n">
        <v>20</v>
      </c>
      <c r="H21" s="6">
        <f>('Normal Devam'!N37)*G21/100</f>
        <v/>
      </c>
      <c r="I21" s="2" t="n"/>
      <c r="J21" s="2" t="n"/>
      <c r="K21" s="2" t="n"/>
      <c r="L21" s="2" t="n"/>
      <c r="M21" s="2" t="n"/>
      <c r="N21" s="2" t="n"/>
    </row>
    <row r="22">
      <c r="A22" s="3" t="inlineStr">
        <is>
          <t>Genel sağlık sigortası</t>
        </is>
      </c>
      <c r="B22" s="3" t="n"/>
      <c r="C22" s="3" t="n"/>
      <c r="D22" s="3" t="n"/>
      <c r="E22" s="3" t="n"/>
      <c r="F22" s="3" t="n"/>
      <c r="G22" s="3" t="n">
        <v>12.5</v>
      </c>
      <c r="H22" s="9">
        <f>('Normal Devam'!N37)*G22/100</f>
        <v/>
      </c>
      <c r="I22" s="3" t="n"/>
      <c r="J22" s="3" t="n"/>
      <c r="K22" s="3" t="n"/>
      <c r="L22" s="3" t="n"/>
      <c r="M22" s="3" t="n"/>
      <c r="N22" s="3" t="n"/>
    </row>
    <row r="23">
      <c r="A23" s="2" t="inlineStr">
        <is>
          <t>İşsizlik sigortası</t>
        </is>
      </c>
      <c r="B23" s="2" t="n"/>
      <c r="C23" s="2" t="n"/>
      <c r="D23" s="2" t="n"/>
      <c r="E23" s="2" t="n"/>
      <c r="F23" s="2" t="n"/>
      <c r="G23" s="2" t="n">
        <v>3</v>
      </c>
      <c r="H23" s="6">
        <f>('Normal Devam'!N37)*G23/100</f>
        <v/>
      </c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Sosyal güvenlik destek primi</t>
        </is>
      </c>
      <c r="B24" s="3" t="n"/>
      <c r="C24" s="3" t="n"/>
      <c r="D24" s="3" t="n"/>
      <c r="E24" s="3" t="n"/>
      <c r="F24" s="3" t="n"/>
      <c r="G24" s="3" t="n">
        <v>0</v>
      </c>
      <c r="H24" s="9">
        <f>('Normal Devam'!N37)*G24/100</f>
        <v/>
      </c>
      <c r="I24" s="3" t="n"/>
      <c r="J24" s="3" t="n"/>
      <c r="K24" s="3" t="n"/>
      <c r="L24" s="3" t="n"/>
      <c r="M24" s="3" t="n"/>
      <c r="N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ÖDENECEK TOPLAM</t>
        </is>
      </c>
      <c r="B26" s="3" t="n"/>
      <c r="C26" s="3" t="n"/>
      <c r="D26" s="3" t="n"/>
      <c r="E26" s="3" t="n"/>
      <c r="F26" s="3" t="n"/>
      <c r="G26" s="3" t="n"/>
      <c r="H26" s="9">
        <f>SUM(H20:H24)</f>
        <v/>
      </c>
      <c r="I26" s="3" t="n"/>
      <c r="J26" s="3" t="n"/>
      <c r="K26" s="3" t="n"/>
      <c r="L26" s="3" t="n"/>
      <c r="M26" s="3" t="n"/>
      <c r="N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inlineStr">
        <is>
          <t>Mali müşavir adı soyadı</t>
        </is>
      </c>
      <c r="B28" s="3" t="n"/>
      <c r="C28" s="3" t="n"/>
      <c r="D28" s="3" t="n"/>
      <c r="E28" s="3" t="n"/>
      <c r="F28" s="3" t="n"/>
      <c r="G28" s="3" t="inlineStr">
        <is>
          <t>Teslim tarihi</t>
        </is>
      </c>
      <c r="H28" s="3" t="n"/>
      <c r="I28" s="3" t="n"/>
      <c r="J28" s="3" t="n"/>
      <c r="K28" s="3" t="n"/>
      <c r="L28" s="3" t="n"/>
      <c r="M28" s="3" t="n"/>
      <c r="N28" s="3" t="n"/>
    </row>
    <row r="29">
      <c r="A29" s="2" t="inlineStr">
        <is>
          <t>Oda kayıt numarası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inlineStr">
        <is>
          <t>İşveren kaşe / imza</t>
        </is>
      </c>
      <c r="B31" s="2" t="n"/>
      <c r="C31" s="2" t="n"/>
      <c r="D31" s="2" t="n"/>
      <c r="E31" s="2" t="n"/>
      <c r="F31" s="2" t="n"/>
      <c r="G31" s="2" t="inlineStr">
        <is>
          <t>Mali müşavir kaşe / imza</t>
        </is>
      </c>
      <c r="H31" s="2" t="n"/>
      <c r="I31" s="2" t="n"/>
      <c r="J31" s="2" t="n"/>
      <c r="K31" s="2" t="n"/>
      <c r="L31" s="2" t="n"/>
      <c r="M31" s="2" t="n"/>
      <c r="N31" s="2" t="n"/>
    </row>
  </sheetData>
  <mergeCells count="1">
    <mergeCell ref="A1:H2"/>
  </mergeCells>
  <dataValidations count="2">
    <dataValidation sqref="F9:F15 K9:K15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G9:H15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N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8" customWidth="1" min="6" max="6"/>
    <col width="19" customWidth="1" min="7" max="7"/>
    <col width="19" customWidth="1" min="8" max="8"/>
    <col width="17" customWidth="1" min="9" max="9"/>
    <col width="17" customWidth="1" min="10" max="10"/>
    <col width="10" customWidth="1" min="11" max="11"/>
    <col width="13" customWidth="1" min="12" max="12"/>
    <col width="13" customWidth="1" min="13" max="13"/>
    <col width="20" customWidth="1" min="14" max="14"/>
  </cols>
  <sheetData>
    <row r="1" ht="25" customHeight="1">
      <c r="A1" s="1" t="inlineStr">
        <is>
          <t>AYLIK PRİM VE HİZMET | Devam Sayfası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1">
        <f>'Normal Ek Belge'!A4</f>
        <v/>
      </c>
      <c r="B4" s="11">
        <f>'Normal Ek Belge'!B4</f>
        <v/>
      </c>
      <c r="C4" s="3" t="n"/>
      <c r="D4" s="11">
        <f>'Normal Ek Belge'!D4</f>
        <v/>
      </c>
      <c r="E4" s="11">
        <f>'Normal Ek Belge'!E4</f>
        <v/>
      </c>
      <c r="F4" s="3" t="n"/>
      <c r="G4" s="11">
        <f>'Normal Ek Belge'!G4</f>
        <v/>
      </c>
      <c r="H4" s="11">
        <f>'Normal Ek Belge'!H4</f>
        <v/>
      </c>
      <c r="I4" s="3" t="n"/>
      <c r="J4" s="3" t="n"/>
      <c r="K4" s="3" t="n"/>
      <c r="L4" s="3" t="n"/>
      <c r="M4" s="3" t="n"/>
      <c r="N4" s="3" t="n"/>
    </row>
    <row r="5">
      <c r="A5" s="10">
        <f>'Normal Ek Belge'!A5</f>
        <v/>
      </c>
      <c r="B5" s="2" t="n"/>
      <c r="C5" s="2" t="n"/>
      <c r="D5" s="10">
        <f>'Normal Ek Belge'!D5</f>
        <v/>
      </c>
      <c r="E5" s="10">
        <f>'Normal Ek Belge'!E5</f>
        <v/>
      </c>
      <c r="F5" s="2" t="n"/>
      <c r="G5" s="10">
        <f>'Normal Ek Belge'!G5</f>
        <v/>
      </c>
      <c r="H5" s="10">
        <f>'Normal Ek Belge'!H5</f>
        <v/>
      </c>
      <c r="I5" s="2" t="n"/>
      <c r="J5" s="2" t="n"/>
      <c r="K5" s="2" t="n"/>
      <c r="L5" s="2" t="n"/>
      <c r="M5" s="2" t="n"/>
      <c r="N5" s="2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3" t="inlineStr">
        <is>
          <t>Sıra</t>
        </is>
      </c>
      <c r="B8" s="3" t="inlineStr">
        <is>
          <t>SGK / kimlik no</t>
        </is>
      </c>
      <c r="C8" s="3" t="inlineStr">
        <is>
          <t>Adı</t>
        </is>
      </c>
      <c r="D8" s="3" t="inlineStr">
        <is>
          <t>Soyadı</t>
        </is>
      </c>
      <c r="E8" s="3" t="inlineStr">
        <is>
          <t>İlk soyadı</t>
        </is>
      </c>
      <c r="F8" s="3" t="inlineStr">
        <is>
          <t>Gün</t>
        </is>
      </c>
      <c r="G8" s="3" t="inlineStr">
        <is>
          <t>Ücret</t>
        </is>
      </c>
      <c r="H8" s="3" t="inlineStr">
        <is>
          <t>İkramiye</t>
        </is>
      </c>
      <c r="I8" s="3" t="inlineStr">
        <is>
          <t>Giriş tarihi</t>
        </is>
      </c>
      <c r="J8" s="3" t="inlineStr">
        <is>
          <t>Çıkış tarihi</t>
        </is>
      </c>
      <c r="K8" s="3" t="inlineStr">
        <is>
          <t>Eksik gün</t>
        </is>
      </c>
      <c r="L8" s="3" t="inlineStr">
        <is>
          <t>Neden kodu</t>
        </is>
      </c>
      <c r="M8" s="3" t="inlineStr">
        <is>
          <t>Çıkış nedeni</t>
        </is>
      </c>
      <c r="N8" s="3" t="inlineStr">
        <is>
          <t>Kazanç</t>
        </is>
      </c>
    </row>
    <row r="9">
      <c r="A9" s="2" t="n">
        <v>8</v>
      </c>
      <c r="B9" s="4" t="n"/>
      <c r="C9" s="2" t="n"/>
      <c r="D9" s="2" t="n"/>
      <c r="E9" s="2" t="n"/>
      <c r="F9" s="2" t="n">
        <v>0</v>
      </c>
      <c r="G9" s="5" t="n">
        <v>0</v>
      </c>
      <c r="H9" s="5" t="n">
        <v>0</v>
      </c>
      <c r="I9" s="2" t="n"/>
      <c r="J9" s="2" t="n"/>
      <c r="K9" s="2" t="n">
        <v>0</v>
      </c>
      <c r="L9" s="2" t="n"/>
      <c r="M9" s="2" t="n"/>
      <c r="N9" s="6">
        <f>G9+H9</f>
        <v/>
      </c>
    </row>
    <row r="10">
      <c r="A10" s="3" t="n">
        <v>9</v>
      </c>
      <c r="B10" s="7" t="n"/>
      <c r="C10" s="3" t="n"/>
      <c r="D10" s="3" t="n"/>
      <c r="E10" s="3" t="n"/>
      <c r="F10" s="3" t="n">
        <v>0</v>
      </c>
      <c r="G10" s="8" t="n">
        <v>0</v>
      </c>
      <c r="H10" s="8" t="n">
        <v>0</v>
      </c>
      <c r="I10" s="3" t="n"/>
      <c r="J10" s="3" t="n"/>
      <c r="K10" s="3" t="n">
        <v>0</v>
      </c>
      <c r="L10" s="3" t="n"/>
      <c r="M10" s="3" t="n"/>
      <c r="N10" s="9">
        <f>G10+H10</f>
        <v/>
      </c>
    </row>
    <row r="11">
      <c r="A11" s="2" t="n">
        <v>10</v>
      </c>
      <c r="B11" s="4" t="n"/>
      <c r="C11" s="2" t="n"/>
      <c r="D11" s="2" t="n"/>
      <c r="E11" s="2" t="n"/>
      <c r="F11" s="2" t="n">
        <v>0</v>
      </c>
      <c r="G11" s="5" t="n">
        <v>0</v>
      </c>
      <c r="H11" s="5" t="n">
        <v>0</v>
      </c>
      <c r="I11" s="2" t="n"/>
      <c r="J11" s="2" t="n"/>
      <c r="K11" s="2" t="n">
        <v>0</v>
      </c>
      <c r="L11" s="2" t="n"/>
      <c r="M11" s="2" t="n"/>
      <c r="N11" s="6">
        <f>G11+H11</f>
        <v/>
      </c>
    </row>
    <row r="12">
      <c r="A12" s="3" t="n">
        <v>11</v>
      </c>
      <c r="B12" s="7" t="n"/>
      <c r="C12" s="3" t="n"/>
      <c r="D12" s="3" t="n"/>
      <c r="E12" s="3" t="n"/>
      <c r="F12" s="3" t="n">
        <v>0</v>
      </c>
      <c r="G12" s="8" t="n">
        <v>0</v>
      </c>
      <c r="H12" s="8" t="n">
        <v>0</v>
      </c>
      <c r="I12" s="3" t="n"/>
      <c r="J12" s="3" t="n"/>
      <c r="K12" s="3" t="n">
        <v>0</v>
      </c>
      <c r="L12" s="3" t="n"/>
      <c r="M12" s="3" t="n"/>
      <c r="N12" s="9">
        <f>G12+H12</f>
        <v/>
      </c>
    </row>
    <row r="13">
      <c r="A13" s="2" t="n">
        <v>12</v>
      </c>
      <c r="B13" s="4" t="n"/>
      <c r="C13" s="2" t="n"/>
      <c r="D13" s="2" t="n"/>
      <c r="E13" s="2" t="n"/>
      <c r="F13" s="2" t="n">
        <v>0</v>
      </c>
      <c r="G13" s="5" t="n">
        <v>0</v>
      </c>
      <c r="H13" s="5" t="n">
        <v>0</v>
      </c>
      <c r="I13" s="2" t="n"/>
      <c r="J13" s="2" t="n"/>
      <c r="K13" s="2" t="n">
        <v>0</v>
      </c>
      <c r="L13" s="2" t="n"/>
      <c r="M13" s="2" t="n"/>
      <c r="N13" s="6">
        <f>G13+H13</f>
        <v/>
      </c>
    </row>
    <row r="14">
      <c r="A14" s="3" t="n">
        <v>13</v>
      </c>
      <c r="B14" s="7" t="n"/>
      <c r="C14" s="3" t="n"/>
      <c r="D14" s="3" t="n"/>
      <c r="E14" s="3" t="n"/>
      <c r="F14" s="3" t="n">
        <v>0</v>
      </c>
      <c r="G14" s="8" t="n">
        <v>0</v>
      </c>
      <c r="H14" s="8" t="n">
        <v>0</v>
      </c>
      <c r="I14" s="3" t="n"/>
      <c r="J14" s="3" t="n"/>
      <c r="K14" s="3" t="n">
        <v>0</v>
      </c>
      <c r="L14" s="3" t="n"/>
      <c r="M14" s="3" t="n"/>
      <c r="N14" s="9">
        <f>G14+H14</f>
        <v/>
      </c>
    </row>
    <row r="15">
      <c r="A15" s="2" t="n">
        <v>14</v>
      </c>
      <c r="B15" s="4" t="n"/>
      <c r="C15" s="2" t="n"/>
      <c r="D15" s="2" t="n"/>
      <c r="E15" s="2" t="n"/>
      <c r="F15" s="2" t="n">
        <v>0</v>
      </c>
      <c r="G15" s="5" t="n">
        <v>0</v>
      </c>
      <c r="H15" s="5" t="n">
        <v>0</v>
      </c>
      <c r="I15" s="2" t="n"/>
      <c r="J15" s="2" t="n"/>
      <c r="K15" s="2" t="n">
        <v>0</v>
      </c>
      <c r="L15" s="2" t="n"/>
      <c r="M15" s="2" t="n"/>
      <c r="N15" s="6">
        <f>G15+H15</f>
        <v/>
      </c>
    </row>
    <row r="16">
      <c r="A16" s="3" t="n">
        <v>15</v>
      </c>
      <c r="B16" s="7" t="n"/>
      <c r="C16" s="3" t="n"/>
      <c r="D16" s="3" t="n"/>
      <c r="E16" s="3" t="n"/>
      <c r="F16" s="3" t="n">
        <v>0</v>
      </c>
      <c r="G16" s="8" t="n">
        <v>0</v>
      </c>
      <c r="H16" s="8" t="n">
        <v>0</v>
      </c>
      <c r="I16" s="3" t="n"/>
      <c r="J16" s="3" t="n"/>
      <c r="K16" s="3" t="n">
        <v>0</v>
      </c>
      <c r="L16" s="3" t="n"/>
      <c r="M16" s="3" t="n"/>
      <c r="N16" s="9">
        <f>G16+H16</f>
        <v/>
      </c>
    </row>
    <row r="17">
      <c r="A17" s="2" t="n">
        <v>16</v>
      </c>
      <c r="B17" s="4" t="n"/>
      <c r="C17" s="2" t="n"/>
      <c r="D17" s="2" t="n"/>
      <c r="E17" s="2" t="n"/>
      <c r="F17" s="2" t="n">
        <v>0</v>
      </c>
      <c r="G17" s="5" t="n">
        <v>0</v>
      </c>
      <c r="H17" s="5" t="n">
        <v>0</v>
      </c>
      <c r="I17" s="2" t="n"/>
      <c r="J17" s="2" t="n"/>
      <c r="K17" s="2" t="n">
        <v>0</v>
      </c>
      <c r="L17" s="2" t="n"/>
      <c r="M17" s="2" t="n"/>
      <c r="N17" s="6">
        <f>G17+H17</f>
        <v/>
      </c>
    </row>
    <row r="18">
      <c r="A18" s="3" t="n">
        <v>17</v>
      </c>
      <c r="B18" s="7" t="n"/>
      <c r="C18" s="3" t="n"/>
      <c r="D18" s="3" t="n"/>
      <c r="E18" s="3" t="n"/>
      <c r="F18" s="3" t="n">
        <v>0</v>
      </c>
      <c r="G18" s="8" t="n">
        <v>0</v>
      </c>
      <c r="H18" s="8" t="n">
        <v>0</v>
      </c>
      <c r="I18" s="3" t="n"/>
      <c r="J18" s="3" t="n"/>
      <c r="K18" s="3" t="n">
        <v>0</v>
      </c>
      <c r="L18" s="3" t="n"/>
      <c r="M18" s="3" t="n"/>
      <c r="N18" s="9">
        <f>G18+H18</f>
        <v/>
      </c>
    </row>
    <row r="19">
      <c r="A19" s="2" t="n">
        <v>18</v>
      </c>
      <c r="B19" s="4" t="n"/>
      <c r="C19" s="2" t="n"/>
      <c r="D19" s="2" t="n"/>
      <c r="E19" s="2" t="n"/>
      <c r="F19" s="2" t="n">
        <v>0</v>
      </c>
      <c r="G19" s="5" t="n">
        <v>0</v>
      </c>
      <c r="H19" s="5" t="n">
        <v>0</v>
      </c>
      <c r="I19" s="2" t="n"/>
      <c r="J19" s="2" t="n"/>
      <c r="K19" s="2" t="n">
        <v>0</v>
      </c>
      <c r="L19" s="2" t="n"/>
      <c r="M19" s="2" t="n"/>
      <c r="N19" s="6">
        <f>G19+H19</f>
        <v/>
      </c>
    </row>
    <row r="20">
      <c r="A20" s="3" t="n">
        <v>19</v>
      </c>
      <c r="B20" s="7" t="n"/>
      <c r="C20" s="3" t="n"/>
      <c r="D20" s="3" t="n"/>
      <c r="E20" s="3" t="n"/>
      <c r="F20" s="3" t="n">
        <v>0</v>
      </c>
      <c r="G20" s="8" t="n">
        <v>0</v>
      </c>
      <c r="H20" s="8" t="n">
        <v>0</v>
      </c>
      <c r="I20" s="3" t="n"/>
      <c r="J20" s="3" t="n"/>
      <c r="K20" s="3" t="n">
        <v>0</v>
      </c>
      <c r="L20" s="3" t="n"/>
      <c r="M20" s="3" t="n"/>
      <c r="N20" s="9">
        <f>G20+H20</f>
        <v/>
      </c>
    </row>
    <row r="21">
      <c r="A21" s="2" t="n">
        <v>20</v>
      </c>
      <c r="B21" s="4" t="n"/>
      <c r="C21" s="2" t="n"/>
      <c r="D21" s="2" t="n"/>
      <c r="E21" s="2" t="n"/>
      <c r="F21" s="2" t="n">
        <v>0</v>
      </c>
      <c r="G21" s="5" t="n">
        <v>0</v>
      </c>
      <c r="H21" s="5" t="n">
        <v>0</v>
      </c>
      <c r="I21" s="2" t="n"/>
      <c r="J21" s="2" t="n"/>
      <c r="K21" s="2" t="n">
        <v>0</v>
      </c>
      <c r="L21" s="2" t="n"/>
      <c r="M21" s="2" t="n"/>
      <c r="N21" s="6">
        <f>G21+H21</f>
        <v/>
      </c>
    </row>
    <row r="22">
      <c r="A22" s="3" t="n">
        <v>21</v>
      </c>
      <c r="B22" s="7" t="n"/>
      <c r="C22" s="3" t="n"/>
      <c r="D22" s="3" t="n"/>
      <c r="E22" s="3" t="n"/>
      <c r="F22" s="3" t="n">
        <v>0</v>
      </c>
      <c r="G22" s="8" t="n">
        <v>0</v>
      </c>
      <c r="H22" s="8" t="n">
        <v>0</v>
      </c>
      <c r="I22" s="3" t="n"/>
      <c r="J22" s="3" t="n"/>
      <c r="K22" s="3" t="n">
        <v>0</v>
      </c>
      <c r="L22" s="3" t="n"/>
      <c r="M22" s="3" t="n"/>
      <c r="N22" s="9">
        <f>G22+H22</f>
        <v/>
      </c>
    </row>
    <row r="23">
      <c r="A23" s="2" t="n">
        <v>22</v>
      </c>
      <c r="B23" s="4" t="n"/>
      <c r="C23" s="2" t="n"/>
      <c r="D23" s="2" t="n"/>
      <c r="E23" s="2" t="n"/>
      <c r="F23" s="2" t="n">
        <v>0</v>
      </c>
      <c r="G23" s="5" t="n">
        <v>0</v>
      </c>
      <c r="H23" s="5" t="n">
        <v>0</v>
      </c>
      <c r="I23" s="2" t="n"/>
      <c r="J23" s="2" t="n"/>
      <c r="K23" s="2" t="n">
        <v>0</v>
      </c>
      <c r="L23" s="2" t="n"/>
      <c r="M23" s="2" t="n"/>
      <c r="N23" s="6">
        <f>G23+H23</f>
        <v/>
      </c>
    </row>
    <row r="24">
      <c r="A24" s="3" t="n">
        <v>23</v>
      </c>
      <c r="B24" s="7" t="n"/>
      <c r="C24" s="3" t="n"/>
      <c r="D24" s="3" t="n"/>
      <c r="E24" s="3" t="n"/>
      <c r="F24" s="3" t="n">
        <v>0</v>
      </c>
      <c r="G24" s="8" t="n">
        <v>0</v>
      </c>
      <c r="H24" s="8" t="n">
        <v>0</v>
      </c>
      <c r="I24" s="3" t="n"/>
      <c r="J24" s="3" t="n"/>
      <c r="K24" s="3" t="n">
        <v>0</v>
      </c>
      <c r="L24" s="3" t="n"/>
      <c r="M24" s="3" t="n"/>
      <c r="N24" s="9">
        <f>G24+H24</f>
        <v/>
      </c>
    </row>
    <row r="25">
      <c r="A25" s="2" t="n">
        <v>24</v>
      </c>
      <c r="B25" s="4" t="n"/>
      <c r="C25" s="2" t="n"/>
      <c r="D25" s="2" t="n"/>
      <c r="E25" s="2" t="n"/>
      <c r="F25" s="2" t="n">
        <v>0</v>
      </c>
      <c r="G25" s="5" t="n">
        <v>0</v>
      </c>
      <c r="H25" s="5" t="n">
        <v>0</v>
      </c>
      <c r="I25" s="2" t="n"/>
      <c r="J25" s="2" t="n"/>
      <c r="K25" s="2" t="n">
        <v>0</v>
      </c>
      <c r="L25" s="2" t="n"/>
      <c r="M25" s="2" t="n"/>
      <c r="N25" s="6">
        <f>G25+H25</f>
        <v/>
      </c>
    </row>
    <row r="26">
      <c r="A26" s="3" t="n">
        <v>25</v>
      </c>
      <c r="B26" s="7" t="n"/>
      <c r="C26" s="3" t="n"/>
      <c r="D26" s="3" t="n"/>
      <c r="E26" s="3" t="n"/>
      <c r="F26" s="3" t="n">
        <v>0</v>
      </c>
      <c r="G26" s="8" t="n">
        <v>0</v>
      </c>
      <c r="H26" s="8" t="n">
        <v>0</v>
      </c>
      <c r="I26" s="3" t="n"/>
      <c r="J26" s="3" t="n"/>
      <c r="K26" s="3" t="n">
        <v>0</v>
      </c>
      <c r="L26" s="3" t="n"/>
      <c r="M26" s="3" t="n"/>
      <c r="N26" s="9">
        <f>G26+H26</f>
        <v/>
      </c>
    </row>
    <row r="27">
      <c r="A27" s="2" t="n">
        <v>26</v>
      </c>
      <c r="B27" s="4" t="n"/>
      <c r="C27" s="2" t="n"/>
      <c r="D27" s="2" t="n"/>
      <c r="E27" s="2" t="n"/>
      <c r="F27" s="2" t="n">
        <v>0</v>
      </c>
      <c r="G27" s="5" t="n">
        <v>0</v>
      </c>
      <c r="H27" s="5" t="n">
        <v>0</v>
      </c>
      <c r="I27" s="2" t="n"/>
      <c r="J27" s="2" t="n"/>
      <c r="K27" s="2" t="n">
        <v>0</v>
      </c>
      <c r="L27" s="2" t="n"/>
      <c r="M27" s="2" t="n"/>
      <c r="N27" s="6">
        <f>G27+H27</f>
        <v/>
      </c>
    </row>
    <row r="28">
      <c r="A28" s="3" t="n">
        <v>27</v>
      </c>
      <c r="B28" s="7" t="n"/>
      <c r="C28" s="3" t="n"/>
      <c r="D28" s="3" t="n"/>
      <c r="E28" s="3" t="n"/>
      <c r="F28" s="3" t="n">
        <v>0</v>
      </c>
      <c r="G28" s="8" t="n">
        <v>0</v>
      </c>
      <c r="H28" s="8" t="n">
        <v>0</v>
      </c>
      <c r="I28" s="3" t="n"/>
      <c r="J28" s="3" t="n"/>
      <c r="K28" s="3" t="n">
        <v>0</v>
      </c>
      <c r="L28" s="3" t="n"/>
      <c r="M28" s="3" t="n"/>
      <c r="N28" s="9">
        <f>G28+H28</f>
        <v/>
      </c>
    </row>
    <row r="29">
      <c r="A29" s="2" t="n">
        <v>28</v>
      </c>
      <c r="B29" s="4" t="n"/>
      <c r="C29" s="2" t="n"/>
      <c r="D29" s="2" t="n"/>
      <c r="E29" s="2" t="n"/>
      <c r="F29" s="2" t="n">
        <v>0</v>
      </c>
      <c r="G29" s="5" t="n">
        <v>0</v>
      </c>
      <c r="H29" s="5" t="n">
        <v>0</v>
      </c>
      <c r="I29" s="2" t="n"/>
      <c r="J29" s="2" t="n"/>
      <c r="K29" s="2" t="n">
        <v>0</v>
      </c>
      <c r="L29" s="2" t="n"/>
      <c r="M29" s="2" t="n"/>
      <c r="N29" s="6">
        <f>G29+H29</f>
        <v/>
      </c>
    </row>
    <row r="30">
      <c r="A30" s="3" t="n">
        <v>29</v>
      </c>
      <c r="B30" s="7" t="n"/>
      <c r="C30" s="3" t="n"/>
      <c r="D30" s="3" t="n"/>
      <c r="E30" s="3" t="n"/>
      <c r="F30" s="3" t="n">
        <v>0</v>
      </c>
      <c r="G30" s="8" t="n">
        <v>0</v>
      </c>
      <c r="H30" s="8" t="n">
        <v>0</v>
      </c>
      <c r="I30" s="3" t="n"/>
      <c r="J30" s="3" t="n"/>
      <c r="K30" s="3" t="n">
        <v>0</v>
      </c>
      <c r="L30" s="3" t="n"/>
      <c r="M30" s="3" t="n"/>
      <c r="N30" s="9">
        <f>G30+H30</f>
        <v/>
      </c>
    </row>
    <row r="31">
      <c r="A31" s="2" t="n">
        <v>30</v>
      </c>
      <c r="B31" s="4" t="n"/>
      <c r="C31" s="2" t="n"/>
      <c r="D31" s="2" t="n"/>
      <c r="E31" s="2" t="n"/>
      <c r="F31" s="2" t="n">
        <v>0</v>
      </c>
      <c r="G31" s="5" t="n">
        <v>0</v>
      </c>
      <c r="H31" s="5" t="n">
        <v>0</v>
      </c>
      <c r="I31" s="2" t="n"/>
      <c r="J31" s="2" t="n"/>
      <c r="K31" s="2" t="n">
        <v>0</v>
      </c>
      <c r="L31" s="2" t="n"/>
      <c r="M31" s="2" t="n"/>
      <c r="N31" s="6">
        <f>G31+H31</f>
        <v/>
      </c>
    </row>
    <row r="32">
      <c r="A32" s="3" t="n">
        <v>31</v>
      </c>
      <c r="B32" s="7" t="n"/>
      <c r="C32" s="3" t="n"/>
      <c r="D32" s="3" t="n"/>
      <c r="E32" s="3" t="n"/>
      <c r="F32" s="3" t="n">
        <v>0</v>
      </c>
      <c r="G32" s="8" t="n">
        <v>0</v>
      </c>
      <c r="H32" s="8" t="n">
        <v>0</v>
      </c>
      <c r="I32" s="3" t="n"/>
      <c r="J32" s="3" t="n"/>
      <c r="K32" s="3" t="n">
        <v>0</v>
      </c>
      <c r="L32" s="3" t="n"/>
      <c r="M32" s="3" t="n"/>
      <c r="N32" s="9">
        <f>G32+H32</f>
        <v/>
      </c>
    </row>
    <row r="33">
      <c r="A33" s="2" t="n">
        <v>32</v>
      </c>
      <c r="B33" s="4" t="n"/>
      <c r="C33" s="2" t="n"/>
      <c r="D33" s="2" t="n"/>
      <c r="E33" s="2" t="n"/>
      <c r="F33" s="2" t="n">
        <v>0</v>
      </c>
      <c r="G33" s="5" t="n">
        <v>0</v>
      </c>
      <c r="H33" s="5" t="n">
        <v>0</v>
      </c>
      <c r="I33" s="2" t="n"/>
      <c r="J33" s="2" t="n"/>
      <c r="K33" s="2" t="n">
        <v>0</v>
      </c>
      <c r="L33" s="2" t="n"/>
      <c r="M33" s="2" t="n"/>
      <c r="N33" s="6">
        <f>G33+H33</f>
        <v/>
      </c>
    </row>
    <row r="34">
      <c r="A34" s="3" t="n"/>
      <c r="B34" s="3" t="n"/>
      <c r="C34" s="3" t="n"/>
      <c r="D34" s="3" t="n"/>
      <c r="E34" s="3" t="n"/>
      <c r="F34" s="3" t="n"/>
      <c r="G34" s="8" t="n"/>
      <c r="H34" s="8" t="n"/>
      <c r="I34" s="3" t="n"/>
      <c r="J34" s="3" t="n"/>
      <c r="K34" s="3" t="n"/>
      <c r="L34" s="3" t="n"/>
      <c r="M34" s="3" t="n"/>
      <c r="N34" s="8" t="n"/>
    </row>
    <row r="35">
      <c r="A35" s="2" t="inlineStr">
        <is>
          <t>BU SAYFANIN TOPLAMI</t>
        </is>
      </c>
      <c r="B35" s="2" t="n"/>
      <c r="C35" s="2" t="n"/>
      <c r="D35" s="2" t="n"/>
      <c r="E35" s="2" t="n"/>
      <c r="F35" s="10">
        <f>SUM(F9:F33)</f>
        <v/>
      </c>
      <c r="G35" s="6">
        <f>SUM(G9:G33)</f>
        <v/>
      </c>
      <c r="H35" s="6">
        <f>SUM(H9:H33)</f>
        <v/>
      </c>
      <c r="I35" s="2" t="n"/>
      <c r="J35" s="2" t="n"/>
      <c r="K35" s="2" t="n"/>
      <c r="L35" s="2" t="n"/>
      <c r="M35" s="2" t="n"/>
      <c r="N35" s="6">
        <f>SUM(N9:N33)</f>
        <v/>
      </c>
    </row>
    <row r="36">
      <c r="A36" s="3" t="inlineStr">
        <is>
          <t>ÖNCEKİ SAYFADAN DEVİR</t>
        </is>
      </c>
      <c r="B36" s="3" t="n"/>
      <c r="C36" s="3" t="n"/>
      <c r="D36" s="3" t="n"/>
      <c r="E36" s="3" t="n"/>
      <c r="F36" s="11">
        <f>'Normal Ek Belge'!F17</f>
        <v/>
      </c>
      <c r="G36" s="9">
        <f>'Normal Ek Belge'!G17</f>
        <v/>
      </c>
      <c r="H36" s="9">
        <f>'Normal Ek Belge'!H17</f>
        <v/>
      </c>
      <c r="I36" s="3" t="n"/>
      <c r="J36" s="3" t="n"/>
      <c r="K36" s="3" t="n"/>
      <c r="L36" s="3" t="n"/>
      <c r="M36" s="3" t="n"/>
      <c r="N36" s="9">
        <f>'Normal Ek Belge'!N17</f>
        <v/>
      </c>
    </row>
    <row r="37">
      <c r="A37" s="2" t="inlineStr">
        <is>
          <t>BU SAYFA DAHİL TOPLAM</t>
        </is>
      </c>
      <c r="B37" s="2" t="n"/>
      <c r="C37" s="2" t="n"/>
      <c r="D37" s="2" t="n"/>
      <c r="E37" s="2" t="n"/>
      <c r="F37" s="10">
        <f>F35+F36</f>
        <v/>
      </c>
      <c r="G37" s="6">
        <f>G35+G36</f>
        <v/>
      </c>
      <c r="H37" s="6">
        <f>H35+H36</f>
        <v/>
      </c>
      <c r="I37" s="2" t="n"/>
      <c r="J37" s="2" t="n"/>
      <c r="K37" s="2" t="n"/>
      <c r="L37" s="2" t="n"/>
      <c r="M37" s="2" t="n"/>
      <c r="N37" s="6">
        <f>N35+N36</f>
        <v/>
      </c>
    </row>
  </sheetData>
  <mergeCells count="1">
    <mergeCell ref="A1:H2"/>
  </mergeCells>
  <dataValidations count="2">
    <dataValidation sqref="F9:F33 K9:K33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G9:H33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N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8" customWidth="1" min="6" max="6"/>
    <col width="19" customWidth="1" min="7" max="7"/>
    <col width="19" customWidth="1" min="8" max="8"/>
    <col width="17" customWidth="1" min="9" max="9"/>
    <col width="17" customWidth="1" min="10" max="10"/>
    <col width="10" customWidth="1" min="11" max="11"/>
    <col width="13" customWidth="1" min="12" max="12"/>
    <col width="13" customWidth="1" min="13" max="13"/>
    <col width="20" customWidth="1" min="14" max="14"/>
  </cols>
  <sheetData>
    <row r="1" ht="25" customHeight="1">
      <c r="A1" s="1" t="inlineStr">
        <is>
          <t>TAHAKKUK | Emekli Ek Belge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İşyeri sicil no</t>
        </is>
      </c>
      <c r="B4" s="3" t="inlineStr">
        <is>
          <t>481210101154751003433</t>
        </is>
      </c>
      <c r="C4" s="3" t="n"/>
      <c r="D4" s="3" t="inlineStr">
        <is>
          <t>Dönem</t>
        </is>
      </c>
      <c r="E4" s="3" t="inlineStr">
        <is>
          <t>2025-01</t>
        </is>
      </c>
      <c r="F4" s="3" t="n"/>
      <c r="G4" s="3" t="inlineStr">
        <is>
          <t>Mahiyeti</t>
        </is>
      </c>
      <c r="H4" s="3" t="inlineStr">
        <is>
          <t>Ek</t>
        </is>
      </c>
      <c r="I4" s="3" t="n"/>
      <c r="J4" s="3" t="n"/>
      <c r="K4" s="3" t="n"/>
      <c r="L4" s="3" t="n"/>
      <c r="M4" s="3" t="n"/>
      <c r="N4" s="3" t="n"/>
    </row>
    <row r="5">
      <c r="A5" s="2" t="inlineStr">
        <is>
          <t>İşveren / ünvan</t>
        </is>
      </c>
      <c r="B5" s="2" t="n"/>
      <c r="C5" s="2" t="n"/>
      <c r="D5" s="2" t="inlineStr">
        <is>
          <t>Belge türü</t>
        </is>
      </c>
      <c r="E5" s="2" t="inlineStr">
        <is>
          <t>02</t>
        </is>
      </c>
      <c r="F5" s="2" t="n"/>
      <c r="G5" s="2" t="inlineStr">
        <is>
          <t>Kanun no</t>
        </is>
      </c>
      <c r="H5" s="2" t="inlineStr"/>
      <c r="I5" s="2" t="n"/>
      <c r="J5" s="2" t="n"/>
      <c r="K5" s="2" t="n"/>
      <c r="L5" s="2" t="n"/>
      <c r="M5" s="2" t="n"/>
      <c r="N5" s="2" t="n"/>
    </row>
    <row r="6">
      <c r="A6" s="3" t="inlineStr">
        <is>
          <t>Adres</t>
        </is>
      </c>
      <c r="B6" s="3" t="n"/>
      <c r="C6" s="3" t="n"/>
      <c r="D6" s="3" t="inlineStr">
        <is>
          <t>Telefon / e-posta</t>
        </is>
      </c>
      <c r="E6" s="3" t="n"/>
      <c r="F6" s="3" t="n"/>
      <c r="G6" s="3" t="inlineStr">
        <is>
          <t>Vergi / kimlik no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3" t="inlineStr">
        <is>
          <t>Sıra</t>
        </is>
      </c>
      <c r="B8" s="3" t="inlineStr">
        <is>
          <t>SGK / kimlik no</t>
        </is>
      </c>
      <c r="C8" s="3" t="inlineStr">
        <is>
          <t>Adı</t>
        </is>
      </c>
      <c r="D8" s="3" t="inlineStr">
        <is>
          <t>Soyadı</t>
        </is>
      </c>
      <c r="E8" s="3" t="inlineStr">
        <is>
          <t>İlk soyadı</t>
        </is>
      </c>
      <c r="F8" s="3" t="inlineStr">
        <is>
          <t>Gün</t>
        </is>
      </c>
      <c r="G8" s="3" t="inlineStr">
        <is>
          <t>Ücret</t>
        </is>
      </c>
      <c r="H8" s="3" t="inlineStr">
        <is>
          <t>İkramiye</t>
        </is>
      </c>
      <c r="I8" s="3" t="inlineStr">
        <is>
          <t>Giriş tarihi</t>
        </is>
      </c>
      <c r="J8" s="3" t="inlineStr">
        <is>
          <t>Çıkış tarihi</t>
        </is>
      </c>
      <c r="K8" s="3" t="inlineStr">
        <is>
          <t>Eksik gün</t>
        </is>
      </c>
      <c r="L8" s="3" t="inlineStr">
        <is>
          <t>Neden kodu</t>
        </is>
      </c>
      <c r="M8" s="3" t="inlineStr">
        <is>
          <t>Çıkış nedeni</t>
        </is>
      </c>
      <c r="N8" s="3" t="inlineStr">
        <is>
          <t>Kazanç</t>
        </is>
      </c>
    </row>
    <row r="9">
      <c r="A9" s="2" t="n">
        <v>1</v>
      </c>
      <c r="B9" s="4" t="inlineStr">
        <is>
          <t>28265018608</t>
        </is>
      </c>
      <c r="C9" s="2" t="inlineStr">
        <is>
          <t>ÖNDER</t>
        </is>
      </c>
      <c r="D9" s="2" t="inlineStr">
        <is>
          <t>KAYA</t>
        </is>
      </c>
      <c r="E9" s="2" t="inlineStr"/>
      <c r="F9" s="2" t="n">
        <v>29</v>
      </c>
      <c r="G9" s="5" t="n">
        <v>25138.65</v>
      </c>
      <c r="H9" s="5" t="n">
        <v>0</v>
      </c>
      <c r="I9" s="2" t="inlineStr">
        <is>
          <t>2025-01-01</t>
        </is>
      </c>
      <c r="J9" s="2" t="inlineStr"/>
      <c r="K9" s="2" t="n">
        <v>0</v>
      </c>
      <c r="L9" s="2" t="inlineStr">
        <is>
          <t>21</t>
        </is>
      </c>
      <c r="M9" s="2" t="inlineStr"/>
      <c r="N9" s="6">
        <f>G9+H9</f>
        <v/>
      </c>
    </row>
    <row r="10">
      <c r="A10" s="3" t="n">
        <v>2</v>
      </c>
      <c r="B10" s="7" t="inlineStr"/>
      <c r="C10" s="3" t="inlineStr"/>
      <c r="D10" s="3" t="inlineStr"/>
      <c r="E10" s="3" t="inlineStr"/>
      <c r="F10" s="3" t="n">
        <v>0</v>
      </c>
      <c r="G10" s="8" t="n">
        <v>0</v>
      </c>
      <c r="H10" s="8" t="n">
        <v>0</v>
      </c>
      <c r="I10" s="3" t="inlineStr"/>
      <c r="J10" s="3" t="inlineStr"/>
      <c r="K10" s="3" t="n">
        <v>0</v>
      </c>
      <c r="L10" s="3" t="inlineStr"/>
      <c r="M10" s="3" t="inlineStr"/>
      <c r="N10" s="9">
        <f>G10+H10</f>
        <v/>
      </c>
    </row>
    <row r="11">
      <c r="A11" s="2" t="n">
        <v>3</v>
      </c>
      <c r="B11" s="4" t="inlineStr"/>
      <c r="C11" s="2" t="inlineStr"/>
      <c r="D11" s="2" t="inlineStr"/>
      <c r="E11" s="2" t="inlineStr"/>
      <c r="F11" s="2" t="n">
        <v>0</v>
      </c>
      <c r="G11" s="5" t="n">
        <v>0</v>
      </c>
      <c r="H11" s="5" t="n">
        <v>0</v>
      </c>
      <c r="I11" s="2" t="inlineStr"/>
      <c r="J11" s="2" t="inlineStr"/>
      <c r="K11" s="2" t="n">
        <v>0</v>
      </c>
      <c r="L11" s="2" t="inlineStr"/>
      <c r="M11" s="2" t="inlineStr"/>
      <c r="N11" s="6">
        <f>G11+H11</f>
        <v/>
      </c>
    </row>
    <row r="12">
      <c r="A12" s="3" t="n">
        <v>4</v>
      </c>
      <c r="B12" s="7" t="inlineStr"/>
      <c r="C12" s="3" t="inlineStr"/>
      <c r="D12" s="3" t="inlineStr"/>
      <c r="E12" s="3" t="inlineStr"/>
      <c r="F12" s="3" t="n">
        <v>0</v>
      </c>
      <c r="G12" s="8" t="n">
        <v>0</v>
      </c>
      <c r="H12" s="8" t="n">
        <v>0</v>
      </c>
      <c r="I12" s="3" t="inlineStr"/>
      <c r="J12" s="3" t="inlineStr"/>
      <c r="K12" s="3" t="n">
        <v>0</v>
      </c>
      <c r="L12" s="3" t="inlineStr"/>
      <c r="M12" s="3" t="inlineStr"/>
      <c r="N12" s="9">
        <f>G12+H12</f>
        <v/>
      </c>
    </row>
    <row r="13">
      <c r="A13" s="2" t="n">
        <v>5</v>
      </c>
      <c r="B13" s="4" t="inlineStr"/>
      <c r="C13" s="2" t="inlineStr"/>
      <c r="D13" s="2" t="inlineStr"/>
      <c r="E13" s="2" t="inlineStr"/>
      <c r="F13" s="2" t="n">
        <v>0</v>
      </c>
      <c r="G13" s="5" t="n">
        <v>0</v>
      </c>
      <c r="H13" s="5" t="n">
        <v>0</v>
      </c>
      <c r="I13" s="2" t="inlineStr"/>
      <c r="J13" s="2" t="inlineStr"/>
      <c r="K13" s="2" t="n">
        <v>0</v>
      </c>
      <c r="L13" s="2" t="inlineStr"/>
      <c r="M13" s="2" t="inlineStr"/>
      <c r="N13" s="6">
        <f>G13+H13</f>
        <v/>
      </c>
    </row>
    <row r="14">
      <c r="A14" s="3" t="n">
        <v>6</v>
      </c>
      <c r="B14" s="7" t="inlineStr"/>
      <c r="C14" s="3" t="inlineStr"/>
      <c r="D14" s="3" t="inlineStr"/>
      <c r="E14" s="3" t="inlineStr"/>
      <c r="F14" s="3" t="n">
        <v>0</v>
      </c>
      <c r="G14" s="8" t="n">
        <v>0</v>
      </c>
      <c r="H14" s="8" t="n">
        <v>0</v>
      </c>
      <c r="I14" s="3" t="inlineStr"/>
      <c r="J14" s="3" t="inlineStr"/>
      <c r="K14" s="3" t="n">
        <v>0</v>
      </c>
      <c r="L14" s="3" t="inlineStr"/>
      <c r="M14" s="3" t="inlineStr"/>
      <c r="N14" s="9">
        <f>G14+H14</f>
        <v/>
      </c>
    </row>
    <row r="15">
      <c r="A15" s="2" t="n">
        <v>7</v>
      </c>
      <c r="B15" s="4" t="inlineStr"/>
      <c r="C15" s="2" t="inlineStr"/>
      <c r="D15" s="2" t="inlineStr"/>
      <c r="E15" s="2" t="inlineStr"/>
      <c r="F15" s="2" t="n">
        <v>0</v>
      </c>
      <c r="G15" s="5" t="n">
        <v>0</v>
      </c>
      <c r="H15" s="5" t="n">
        <v>0</v>
      </c>
      <c r="I15" s="2" t="inlineStr"/>
      <c r="J15" s="2" t="inlineStr"/>
      <c r="K15" s="2" t="n">
        <v>0</v>
      </c>
      <c r="L15" s="2" t="inlineStr"/>
      <c r="M15" s="2" t="inlineStr"/>
      <c r="N15" s="6">
        <f>G15+H15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inlineStr">
        <is>
          <t>BU SAYFANIN TOPLAMI</t>
        </is>
      </c>
      <c r="B17" s="2" t="n"/>
      <c r="C17" s="2" t="n"/>
      <c r="D17" s="2" t="n"/>
      <c r="E17" s="2" t="n"/>
      <c r="F17" s="10">
        <f>SUM(F9:F15)</f>
        <v/>
      </c>
      <c r="G17" s="10">
        <f>SUM(G9:G15)</f>
        <v/>
      </c>
      <c r="H17" s="10">
        <f>SUM(H9:H15)</f>
        <v/>
      </c>
      <c r="I17" s="2" t="n"/>
      <c r="J17" s="2" t="n"/>
      <c r="K17" s="2" t="n"/>
      <c r="L17" s="2" t="n"/>
      <c r="M17" s="2" t="n"/>
      <c r="N17" s="10">
        <f>SUM(N9:N15)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inlineStr">
        <is>
          <t>Sigorta kolu</t>
        </is>
      </c>
      <c r="B19" s="2" t="n"/>
      <c r="C19" s="2" t="n"/>
      <c r="D19" s="2" t="n"/>
      <c r="E19" s="2" t="n"/>
      <c r="F19" s="2" t="n"/>
      <c r="G19" s="2" t="inlineStr">
        <is>
          <t>Oran (%)</t>
        </is>
      </c>
      <c r="H19" s="2" t="inlineStr">
        <is>
          <t>Prim tutarı</t>
        </is>
      </c>
      <c r="I19" s="2" t="n"/>
      <c r="J19" s="2" t="n"/>
      <c r="K19" s="2" t="n"/>
      <c r="L19" s="2" t="n"/>
      <c r="M19" s="2" t="n"/>
      <c r="N19" s="2" t="n"/>
    </row>
    <row r="20">
      <c r="A20" s="3" t="inlineStr">
        <is>
          <t>Kısa vadeli sigorta</t>
        </is>
      </c>
      <c r="B20" s="3" t="n"/>
      <c r="C20" s="3" t="n"/>
      <c r="D20" s="3" t="n"/>
      <c r="E20" s="3" t="n"/>
      <c r="F20" s="3" t="n"/>
      <c r="G20" s="3" t="n">
        <v>2.25</v>
      </c>
      <c r="H20" s="9">
        <f>('Emekli Devam'!N37)*G20/100</f>
        <v/>
      </c>
      <c r="I20" s="3" t="n"/>
      <c r="J20" s="3" t="n"/>
      <c r="K20" s="3" t="n"/>
      <c r="L20" s="3" t="n"/>
      <c r="M20" s="3" t="n"/>
      <c r="N20" s="3" t="n"/>
    </row>
    <row r="21">
      <c r="A21" s="2" t="inlineStr">
        <is>
          <t>Malullük / yaşlılık / ölüm</t>
        </is>
      </c>
      <c r="B21" s="2" t="n"/>
      <c r="C21" s="2" t="n"/>
      <c r="D21" s="2" t="n"/>
      <c r="E21" s="2" t="n"/>
      <c r="F21" s="2" t="n"/>
      <c r="G21" s="2" t="n">
        <v>0</v>
      </c>
      <c r="H21" s="6">
        <f>('Emekli Devam'!N37)*G21/100</f>
        <v/>
      </c>
      <c r="I21" s="2" t="n"/>
      <c r="J21" s="2" t="n"/>
      <c r="K21" s="2" t="n"/>
      <c r="L21" s="2" t="n"/>
      <c r="M21" s="2" t="n"/>
      <c r="N21" s="2" t="n"/>
    </row>
    <row r="22">
      <c r="A22" s="3" t="inlineStr">
        <is>
          <t>Genel sağlık sigortası</t>
        </is>
      </c>
      <c r="B22" s="3" t="n"/>
      <c r="C22" s="3" t="n"/>
      <c r="D22" s="3" t="n"/>
      <c r="E22" s="3" t="n"/>
      <c r="F22" s="3" t="n"/>
      <c r="G22" s="3" t="n">
        <v>0</v>
      </c>
      <c r="H22" s="9">
        <f>('Emekli Devam'!N37)*G22/100</f>
        <v/>
      </c>
      <c r="I22" s="3" t="n"/>
      <c r="J22" s="3" t="n"/>
      <c r="K22" s="3" t="n"/>
      <c r="L22" s="3" t="n"/>
      <c r="M22" s="3" t="n"/>
      <c r="N22" s="3" t="n"/>
    </row>
    <row r="23">
      <c r="A23" s="2" t="inlineStr">
        <is>
          <t>İşsizlik sigortası</t>
        </is>
      </c>
      <c r="B23" s="2" t="n"/>
      <c r="C23" s="2" t="n"/>
      <c r="D23" s="2" t="n"/>
      <c r="E23" s="2" t="n"/>
      <c r="F23" s="2" t="n"/>
      <c r="G23" s="2" t="n">
        <v>0</v>
      </c>
      <c r="H23" s="6">
        <f>('Emekli Devam'!N37)*G23/100</f>
        <v/>
      </c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Sosyal güvenlik destek primi</t>
        </is>
      </c>
      <c r="B24" s="3" t="n"/>
      <c r="C24" s="3" t="n"/>
      <c r="D24" s="3" t="n"/>
      <c r="E24" s="3" t="n"/>
      <c r="F24" s="3" t="n"/>
      <c r="G24" s="3" t="n">
        <v>30</v>
      </c>
      <c r="H24" s="9">
        <f>('Emekli Devam'!N37)*G24/100</f>
        <v/>
      </c>
      <c r="I24" s="3" t="n"/>
      <c r="J24" s="3" t="n"/>
      <c r="K24" s="3" t="n"/>
      <c r="L24" s="3" t="n"/>
      <c r="M24" s="3" t="n"/>
      <c r="N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ÖDENECEK TOPLAM</t>
        </is>
      </c>
      <c r="B26" s="3" t="n"/>
      <c r="C26" s="3" t="n"/>
      <c r="D26" s="3" t="n"/>
      <c r="E26" s="3" t="n"/>
      <c r="F26" s="3" t="n"/>
      <c r="G26" s="3" t="n"/>
      <c r="H26" s="9">
        <f>SUM(H20:H24)</f>
        <v/>
      </c>
      <c r="I26" s="3" t="n"/>
      <c r="J26" s="3" t="n"/>
      <c r="K26" s="3" t="n"/>
      <c r="L26" s="3" t="n"/>
      <c r="M26" s="3" t="n"/>
      <c r="N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inlineStr">
        <is>
          <t>Mali müşavir adı soyadı</t>
        </is>
      </c>
      <c r="B28" s="3" t="n"/>
      <c r="C28" s="3" t="n"/>
      <c r="D28" s="3" t="n"/>
      <c r="E28" s="3" t="n"/>
      <c r="F28" s="3" t="n"/>
      <c r="G28" s="3" t="inlineStr">
        <is>
          <t>Teslim tarihi</t>
        </is>
      </c>
      <c r="H28" s="3" t="n"/>
      <c r="I28" s="3" t="n"/>
      <c r="J28" s="3" t="n"/>
      <c r="K28" s="3" t="n"/>
      <c r="L28" s="3" t="n"/>
      <c r="M28" s="3" t="n"/>
      <c r="N28" s="3" t="n"/>
    </row>
    <row r="29">
      <c r="A29" s="2" t="inlineStr">
        <is>
          <t>Oda kayıt numarası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inlineStr">
        <is>
          <t>İşveren kaşe / imza</t>
        </is>
      </c>
      <c r="B31" s="2" t="n"/>
      <c r="C31" s="2" t="n"/>
      <c r="D31" s="2" t="n"/>
      <c r="E31" s="2" t="n"/>
      <c r="F31" s="2" t="n"/>
      <c r="G31" s="2" t="inlineStr">
        <is>
          <t>Mali müşavir kaşe / imza</t>
        </is>
      </c>
      <c r="H31" s="2" t="n"/>
      <c r="I31" s="2" t="n"/>
      <c r="J31" s="2" t="n"/>
      <c r="K31" s="2" t="n"/>
      <c r="L31" s="2" t="n"/>
      <c r="M31" s="2" t="n"/>
      <c r="N31" s="2" t="n"/>
    </row>
  </sheetData>
  <mergeCells count="1">
    <mergeCell ref="A1:H2"/>
  </mergeCells>
  <dataValidations count="2">
    <dataValidation sqref="F9:F15 K9:K15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G9:H15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N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8" customWidth="1" min="6" max="6"/>
    <col width="19" customWidth="1" min="7" max="7"/>
    <col width="19" customWidth="1" min="8" max="8"/>
    <col width="17" customWidth="1" min="9" max="9"/>
    <col width="17" customWidth="1" min="10" max="10"/>
    <col width="10" customWidth="1" min="11" max="11"/>
    <col width="13" customWidth="1" min="12" max="12"/>
    <col width="13" customWidth="1" min="13" max="13"/>
    <col width="20" customWidth="1" min="14" max="14"/>
  </cols>
  <sheetData>
    <row r="1" ht="25" customHeight="1">
      <c r="A1" s="1" t="inlineStr">
        <is>
          <t>AYLIK PRİM VE HİZMET | Devam Sayfası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1">
        <f>'Emekli Ek Belge'!A4</f>
        <v/>
      </c>
      <c r="B4" s="11">
        <f>'Emekli Ek Belge'!B4</f>
        <v/>
      </c>
      <c r="C4" s="3" t="n"/>
      <c r="D4" s="11">
        <f>'Emekli Ek Belge'!D4</f>
        <v/>
      </c>
      <c r="E4" s="11">
        <f>'Emekli Ek Belge'!E4</f>
        <v/>
      </c>
      <c r="F4" s="3" t="n"/>
      <c r="G4" s="11">
        <f>'Emekli Ek Belge'!G4</f>
        <v/>
      </c>
      <c r="H4" s="11">
        <f>'Emekli Ek Belge'!H4</f>
        <v/>
      </c>
      <c r="I4" s="3" t="n"/>
      <c r="J4" s="3" t="n"/>
      <c r="K4" s="3" t="n"/>
      <c r="L4" s="3" t="n"/>
      <c r="M4" s="3" t="n"/>
      <c r="N4" s="3" t="n"/>
    </row>
    <row r="5">
      <c r="A5" s="10">
        <f>'Emekli Ek Belge'!A5</f>
        <v/>
      </c>
      <c r="B5" s="2" t="n"/>
      <c r="C5" s="2" t="n"/>
      <c r="D5" s="10">
        <f>'Emekli Ek Belge'!D5</f>
        <v/>
      </c>
      <c r="E5" s="10">
        <f>'Emekli Ek Belge'!E5</f>
        <v/>
      </c>
      <c r="F5" s="2" t="n"/>
      <c r="G5" s="10">
        <f>'Emekli Ek Belge'!G5</f>
        <v/>
      </c>
      <c r="H5" s="10">
        <f>'Emekli Ek Belge'!H5</f>
        <v/>
      </c>
      <c r="I5" s="2" t="n"/>
      <c r="J5" s="2" t="n"/>
      <c r="K5" s="2" t="n"/>
      <c r="L5" s="2" t="n"/>
      <c r="M5" s="2" t="n"/>
      <c r="N5" s="2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0" customHeight="1">
      <c r="A8" s="3" t="inlineStr">
        <is>
          <t>Sıra</t>
        </is>
      </c>
      <c r="B8" s="3" t="inlineStr">
        <is>
          <t>SGK / kimlik no</t>
        </is>
      </c>
      <c r="C8" s="3" t="inlineStr">
        <is>
          <t>Adı</t>
        </is>
      </c>
      <c r="D8" s="3" t="inlineStr">
        <is>
          <t>Soyadı</t>
        </is>
      </c>
      <c r="E8" s="3" t="inlineStr">
        <is>
          <t>İlk soyadı</t>
        </is>
      </c>
      <c r="F8" s="3" t="inlineStr">
        <is>
          <t>Gün</t>
        </is>
      </c>
      <c r="G8" s="3" t="inlineStr">
        <is>
          <t>Ücret</t>
        </is>
      </c>
      <c r="H8" s="3" t="inlineStr">
        <is>
          <t>İkramiye</t>
        </is>
      </c>
      <c r="I8" s="3" t="inlineStr">
        <is>
          <t>Giriş tarihi</t>
        </is>
      </c>
      <c r="J8" s="3" t="inlineStr">
        <is>
          <t>Çıkış tarihi</t>
        </is>
      </c>
      <c r="K8" s="3" t="inlineStr">
        <is>
          <t>Eksik gün</t>
        </is>
      </c>
      <c r="L8" s="3" t="inlineStr">
        <is>
          <t>Neden kodu</t>
        </is>
      </c>
      <c r="M8" s="3" t="inlineStr">
        <is>
          <t>Çıkış nedeni</t>
        </is>
      </c>
      <c r="N8" s="3" t="inlineStr">
        <is>
          <t>Kazanç</t>
        </is>
      </c>
    </row>
    <row r="9">
      <c r="A9" s="2" t="n">
        <v>8</v>
      </c>
      <c r="B9" s="4" t="n"/>
      <c r="C9" s="2" t="n"/>
      <c r="D9" s="2" t="n"/>
      <c r="E9" s="2" t="n"/>
      <c r="F9" s="2" t="n">
        <v>0</v>
      </c>
      <c r="G9" s="5" t="n">
        <v>0</v>
      </c>
      <c r="H9" s="5" t="n">
        <v>0</v>
      </c>
      <c r="I9" s="2" t="n"/>
      <c r="J9" s="2" t="n"/>
      <c r="K9" s="2" t="n">
        <v>0</v>
      </c>
      <c r="L9" s="2" t="n"/>
      <c r="M9" s="2" t="n"/>
      <c r="N9" s="6">
        <f>G9+H9</f>
        <v/>
      </c>
    </row>
    <row r="10">
      <c r="A10" s="3" t="n">
        <v>9</v>
      </c>
      <c r="B10" s="7" t="n"/>
      <c r="C10" s="3" t="n"/>
      <c r="D10" s="3" t="n"/>
      <c r="E10" s="3" t="n"/>
      <c r="F10" s="3" t="n">
        <v>0</v>
      </c>
      <c r="G10" s="8" t="n">
        <v>0</v>
      </c>
      <c r="H10" s="8" t="n">
        <v>0</v>
      </c>
      <c r="I10" s="3" t="n"/>
      <c r="J10" s="3" t="n"/>
      <c r="K10" s="3" t="n">
        <v>0</v>
      </c>
      <c r="L10" s="3" t="n"/>
      <c r="M10" s="3" t="n"/>
      <c r="N10" s="9">
        <f>G10+H10</f>
        <v/>
      </c>
    </row>
    <row r="11">
      <c r="A11" s="2" t="n">
        <v>10</v>
      </c>
      <c r="B11" s="4" t="n"/>
      <c r="C11" s="2" t="n"/>
      <c r="D11" s="2" t="n"/>
      <c r="E11" s="2" t="n"/>
      <c r="F11" s="2" t="n">
        <v>0</v>
      </c>
      <c r="G11" s="5" t="n">
        <v>0</v>
      </c>
      <c r="H11" s="5" t="n">
        <v>0</v>
      </c>
      <c r="I11" s="2" t="n"/>
      <c r="J11" s="2" t="n"/>
      <c r="K11" s="2" t="n">
        <v>0</v>
      </c>
      <c r="L11" s="2" t="n"/>
      <c r="M11" s="2" t="n"/>
      <c r="N11" s="6">
        <f>G11+H11</f>
        <v/>
      </c>
    </row>
    <row r="12">
      <c r="A12" s="3" t="n">
        <v>11</v>
      </c>
      <c r="B12" s="7" t="n"/>
      <c r="C12" s="3" t="n"/>
      <c r="D12" s="3" t="n"/>
      <c r="E12" s="3" t="n"/>
      <c r="F12" s="3" t="n">
        <v>0</v>
      </c>
      <c r="G12" s="8" t="n">
        <v>0</v>
      </c>
      <c r="H12" s="8" t="n">
        <v>0</v>
      </c>
      <c r="I12" s="3" t="n"/>
      <c r="J12" s="3" t="n"/>
      <c r="K12" s="3" t="n">
        <v>0</v>
      </c>
      <c r="L12" s="3" t="n"/>
      <c r="M12" s="3" t="n"/>
      <c r="N12" s="9">
        <f>G12+H12</f>
        <v/>
      </c>
    </row>
    <row r="13">
      <c r="A13" s="2" t="n">
        <v>12</v>
      </c>
      <c r="B13" s="4" t="n"/>
      <c r="C13" s="2" t="n"/>
      <c r="D13" s="2" t="n"/>
      <c r="E13" s="2" t="n"/>
      <c r="F13" s="2" t="n">
        <v>0</v>
      </c>
      <c r="G13" s="5" t="n">
        <v>0</v>
      </c>
      <c r="H13" s="5" t="n">
        <v>0</v>
      </c>
      <c r="I13" s="2" t="n"/>
      <c r="J13" s="2" t="n"/>
      <c r="K13" s="2" t="n">
        <v>0</v>
      </c>
      <c r="L13" s="2" t="n"/>
      <c r="M13" s="2" t="n"/>
      <c r="N13" s="6">
        <f>G13+H13</f>
        <v/>
      </c>
    </row>
    <row r="14">
      <c r="A14" s="3" t="n">
        <v>13</v>
      </c>
      <c r="B14" s="7" t="n"/>
      <c r="C14" s="3" t="n"/>
      <c r="D14" s="3" t="n"/>
      <c r="E14" s="3" t="n"/>
      <c r="F14" s="3" t="n">
        <v>0</v>
      </c>
      <c r="G14" s="8" t="n">
        <v>0</v>
      </c>
      <c r="H14" s="8" t="n">
        <v>0</v>
      </c>
      <c r="I14" s="3" t="n"/>
      <c r="J14" s="3" t="n"/>
      <c r="K14" s="3" t="n">
        <v>0</v>
      </c>
      <c r="L14" s="3" t="n"/>
      <c r="M14" s="3" t="n"/>
      <c r="N14" s="9">
        <f>G14+H14</f>
        <v/>
      </c>
    </row>
    <row r="15">
      <c r="A15" s="2" t="n">
        <v>14</v>
      </c>
      <c r="B15" s="4" t="n"/>
      <c r="C15" s="2" t="n"/>
      <c r="D15" s="2" t="n"/>
      <c r="E15" s="2" t="n"/>
      <c r="F15" s="2" t="n">
        <v>0</v>
      </c>
      <c r="G15" s="5" t="n">
        <v>0</v>
      </c>
      <c r="H15" s="5" t="n">
        <v>0</v>
      </c>
      <c r="I15" s="2" t="n"/>
      <c r="J15" s="2" t="n"/>
      <c r="K15" s="2" t="n">
        <v>0</v>
      </c>
      <c r="L15" s="2" t="n"/>
      <c r="M15" s="2" t="n"/>
      <c r="N15" s="6">
        <f>G15+H15</f>
        <v/>
      </c>
    </row>
    <row r="16">
      <c r="A16" s="3" t="n">
        <v>15</v>
      </c>
      <c r="B16" s="7" t="n"/>
      <c r="C16" s="3" t="n"/>
      <c r="D16" s="3" t="n"/>
      <c r="E16" s="3" t="n"/>
      <c r="F16" s="3" t="n">
        <v>0</v>
      </c>
      <c r="G16" s="8" t="n">
        <v>0</v>
      </c>
      <c r="H16" s="8" t="n">
        <v>0</v>
      </c>
      <c r="I16" s="3" t="n"/>
      <c r="J16" s="3" t="n"/>
      <c r="K16" s="3" t="n">
        <v>0</v>
      </c>
      <c r="L16" s="3" t="n"/>
      <c r="M16" s="3" t="n"/>
      <c r="N16" s="9">
        <f>G16+H16</f>
        <v/>
      </c>
    </row>
    <row r="17">
      <c r="A17" s="2" t="n">
        <v>16</v>
      </c>
      <c r="B17" s="4" t="n"/>
      <c r="C17" s="2" t="n"/>
      <c r="D17" s="2" t="n"/>
      <c r="E17" s="2" t="n"/>
      <c r="F17" s="2" t="n">
        <v>0</v>
      </c>
      <c r="G17" s="5" t="n">
        <v>0</v>
      </c>
      <c r="H17" s="5" t="n">
        <v>0</v>
      </c>
      <c r="I17" s="2" t="n"/>
      <c r="J17" s="2" t="n"/>
      <c r="K17" s="2" t="n">
        <v>0</v>
      </c>
      <c r="L17" s="2" t="n"/>
      <c r="M17" s="2" t="n"/>
      <c r="N17" s="6">
        <f>G17+H17</f>
        <v/>
      </c>
    </row>
    <row r="18">
      <c r="A18" s="3" t="n">
        <v>17</v>
      </c>
      <c r="B18" s="7" t="n"/>
      <c r="C18" s="3" t="n"/>
      <c r="D18" s="3" t="n"/>
      <c r="E18" s="3" t="n"/>
      <c r="F18" s="3" t="n">
        <v>0</v>
      </c>
      <c r="G18" s="8" t="n">
        <v>0</v>
      </c>
      <c r="H18" s="8" t="n">
        <v>0</v>
      </c>
      <c r="I18" s="3" t="n"/>
      <c r="J18" s="3" t="n"/>
      <c r="K18" s="3" t="n">
        <v>0</v>
      </c>
      <c r="L18" s="3" t="n"/>
      <c r="M18" s="3" t="n"/>
      <c r="N18" s="9">
        <f>G18+H18</f>
        <v/>
      </c>
    </row>
    <row r="19">
      <c r="A19" s="2" t="n">
        <v>18</v>
      </c>
      <c r="B19" s="4" t="n"/>
      <c r="C19" s="2" t="n"/>
      <c r="D19" s="2" t="n"/>
      <c r="E19" s="2" t="n"/>
      <c r="F19" s="2" t="n">
        <v>0</v>
      </c>
      <c r="G19" s="5" t="n">
        <v>0</v>
      </c>
      <c r="H19" s="5" t="n">
        <v>0</v>
      </c>
      <c r="I19" s="2" t="n"/>
      <c r="J19" s="2" t="n"/>
      <c r="K19" s="2" t="n">
        <v>0</v>
      </c>
      <c r="L19" s="2" t="n"/>
      <c r="M19" s="2" t="n"/>
      <c r="N19" s="6">
        <f>G19+H19</f>
        <v/>
      </c>
    </row>
    <row r="20">
      <c r="A20" s="3" t="n">
        <v>19</v>
      </c>
      <c r="B20" s="7" t="n"/>
      <c r="C20" s="3" t="n"/>
      <c r="D20" s="3" t="n"/>
      <c r="E20" s="3" t="n"/>
      <c r="F20" s="3" t="n">
        <v>0</v>
      </c>
      <c r="G20" s="8" t="n">
        <v>0</v>
      </c>
      <c r="H20" s="8" t="n">
        <v>0</v>
      </c>
      <c r="I20" s="3" t="n"/>
      <c r="J20" s="3" t="n"/>
      <c r="K20" s="3" t="n">
        <v>0</v>
      </c>
      <c r="L20" s="3" t="n"/>
      <c r="M20" s="3" t="n"/>
      <c r="N20" s="9">
        <f>G20+H20</f>
        <v/>
      </c>
    </row>
    <row r="21">
      <c r="A21" s="2" t="n">
        <v>20</v>
      </c>
      <c r="B21" s="4" t="n"/>
      <c r="C21" s="2" t="n"/>
      <c r="D21" s="2" t="n"/>
      <c r="E21" s="2" t="n"/>
      <c r="F21" s="2" t="n">
        <v>0</v>
      </c>
      <c r="G21" s="5" t="n">
        <v>0</v>
      </c>
      <c r="H21" s="5" t="n">
        <v>0</v>
      </c>
      <c r="I21" s="2" t="n"/>
      <c r="J21" s="2" t="n"/>
      <c r="K21" s="2" t="n">
        <v>0</v>
      </c>
      <c r="L21" s="2" t="n"/>
      <c r="M21" s="2" t="n"/>
      <c r="N21" s="6">
        <f>G21+H21</f>
        <v/>
      </c>
    </row>
    <row r="22">
      <c r="A22" s="3" t="n">
        <v>21</v>
      </c>
      <c r="B22" s="7" t="n"/>
      <c r="C22" s="3" t="n"/>
      <c r="D22" s="3" t="n"/>
      <c r="E22" s="3" t="n"/>
      <c r="F22" s="3" t="n">
        <v>0</v>
      </c>
      <c r="G22" s="8" t="n">
        <v>0</v>
      </c>
      <c r="H22" s="8" t="n">
        <v>0</v>
      </c>
      <c r="I22" s="3" t="n"/>
      <c r="J22" s="3" t="n"/>
      <c r="K22" s="3" t="n">
        <v>0</v>
      </c>
      <c r="L22" s="3" t="n"/>
      <c r="M22" s="3" t="n"/>
      <c r="N22" s="9">
        <f>G22+H22</f>
        <v/>
      </c>
    </row>
    <row r="23">
      <c r="A23" s="2" t="n">
        <v>22</v>
      </c>
      <c r="B23" s="4" t="n"/>
      <c r="C23" s="2" t="n"/>
      <c r="D23" s="2" t="n"/>
      <c r="E23" s="2" t="n"/>
      <c r="F23" s="2" t="n">
        <v>0</v>
      </c>
      <c r="G23" s="5" t="n">
        <v>0</v>
      </c>
      <c r="H23" s="5" t="n">
        <v>0</v>
      </c>
      <c r="I23" s="2" t="n"/>
      <c r="J23" s="2" t="n"/>
      <c r="K23" s="2" t="n">
        <v>0</v>
      </c>
      <c r="L23" s="2" t="n"/>
      <c r="M23" s="2" t="n"/>
      <c r="N23" s="6">
        <f>G23+H23</f>
        <v/>
      </c>
    </row>
    <row r="24">
      <c r="A24" s="3" t="n">
        <v>23</v>
      </c>
      <c r="B24" s="7" t="n"/>
      <c r="C24" s="3" t="n"/>
      <c r="D24" s="3" t="n"/>
      <c r="E24" s="3" t="n"/>
      <c r="F24" s="3" t="n">
        <v>0</v>
      </c>
      <c r="G24" s="8" t="n">
        <v>0</v>
      </c>
      <c r="H24" s="8" t="n">
        <v>0</v>
      </c>
      <c r="I24" s="3" t="n"/>
      <c r="J24" s="3" t="n"/>
      <c r="K24" s="3" t="n">
        <v>0</v>
      </c>
      <c r="L24" s="3" t="n"/>
      <c r="M24" s="3" t="n"/>
      <c r="N24" s="9">
        <f>G24+H24</f>
        <v/>
      </c>
    </row>
    <row r="25">
      <c r="A25" s="2" t="n">
        <v>24</v>
      </c>
      <c r="B25" s="4" t="n"/>
      <c r="C25" s="2" t="n"/>
      <c r="D25" s="2" t="n"/>
      <c r="E25" s="2" t="n"/>
      <c r="F25" s="2" t="n">
        <v>0</v>
      </c>
      <c r="G25" s="5" t="n">
        <v>0</v>
      </c>
      <c r="H25" s="5" t="n">
        <v>0</v>
      </c>
      <c r="I25" s="2" t="n"/>
      <c r="J25" s="2" t="n"/>
      <c r="K25" s="2" t="n">
        <v>0</v>
      </c>
      <c r="L25" s="2" t="n"/>
      <c r="M25" s="2" t="n"/>
      <c r="N25" s="6">
        <f>G25+H25</f>
        <v/>
      </c>
    </row>
    <row r="26">
      <c r="A26" s="3" t="n">
        <v>25</v>
      </c>
      <c r="B26" s="7" t="n"/>
      <c r="C26" s="3" t="n"/>
      <c r="D26" s="3" t="n"/>
      <c r="E26" s="3" t="n"/>
      <c r="F26" s="3" t="n">
        <v>0</v>
      </c>
      <c r="G26" s="8" t="n">
        <v>0</v>
      </c>
      <c r="H26" s="8" t="n">
        <v>0</v>
      </c>
      <c r="I26" s="3" t="n"/>
      <c r="J26" s="3" t="n"/>
      <c r="K26" s="3" t="n">
        <v>0</v>
      </c>
      <c r="L26" s="3" t="n"/>
      <c r="M26" s="3" t="n"/>
      <c r="N26" s="9">
        <f>G26+H26</f>
        <v/>
      </c>
    </row>
    <row r="27">
      <c r="A27" s="2" t="n">
        <v>26</v>
      </c>
      <c r="B27" s="4" t="n"/>
      <c r="C27" s="2" t="n"/>
      <c r="D27" s="2" t="n"/>
      <c r="E27" s="2" t="n"/>
      <c r="F27" s="2" t="n">
        <v>0</v>
      </c>
      <c r="G27" s="5" t="n">
        <v>0</v>
      </c>
      <c r="H27" s="5" t="n">
        <v>0</v>
      </c>
      <c r="I27" s="2" t="n"/>
      <c r="J27" s="2" t="n"/>
      <c r="K27" s="2" t="n">
        <v>0</v>
      </c>
      <c r="L27" s="2" t="n"/>
      <c r="M27" s="2" t="n"/>
      <c r="N27" s="6">
        <f>G27+H27</f>
        <v/>
      </c>
    </row>
    <row r="28">
      <c r="A28" s="3" t="n">
        <v>27</v>
      </c>
      <c r="B28" s="7" t="n"/>
      <c r="C28" s="3" t="n"/>
      <c r="D28" s="3" t="n"/>
      <c r="E28" s="3" t="n"/>
      <c r="F28" s="3" t="n">
        <v>0</v>
      </c>
      <c r="G28" s="8" t="n">
        <v>0</v>
      </c>
      <c r="H28" s="8" t="n">
        <v>0</v>
      </c>
      <c r="I28" s="3" t="n"/>
      <c r="J28" s="3" t="n"/>
      <c r="K28" s="3" t="n">
        <v>0</v>
      </c>
      <c r="L28" s="3" t="n"/>
      <c r="M28" s="3" t="n"/>
      <c r="N28" s="9">
        <f>G28+H28</f>
        <v/>
      </c>
    </row>
    <row r="29">
      <c r="A29" s="2" t="n">
        <v>28</v>
      </c>
      <c r="B29" s="4" t="n"/>
      <c r="C29" s="2" t="n"/>
      <c r="D29" s="2" t="n"/>
      <c r="E29" s="2" t="n"/>
      <c r="F29" s="2" t="n">
        <v>0</v>
      </c>
      <c r="G29" s="5" t="n">
        <v>0</v>
      </c>
      <c r="H29" s="5" t="n">
        <v>0</v>
      </c>
      <c r="I29" s="2" t="n"/>
      <c r="J29" s="2" t="n"/>
      <c r="K29" s="2" t="n">
        <v>0</v>
      </c>
      <c r="L29" s="2" t="n"/>
      <c r="M29" s="2" t="n"/>
      <c r="N29" s="6">
        <f>G29+H29</f>
        <v/>
      </c>
    </row>
    <row r="30">
      <c r="A30" s="3" t="n">
        <v>29</v>
      </c>
      <c r="B30" s="7" t="n"/>
      <c r="C30" s="3" t="n"/>
      <c r="D30" s="3" t="n"/>
      <c r="E30" s="3" t="n"/>
      <c r="F30" s="3" t="n">
        <v>0</v>
      </c>
      <c r="G30" s="8" t="n">
        <v>0</v>
      </c>
      <c r="H30" s="8" t="n">
        <v>0</v>
      </c>
      <c r="I30" s="3" t="n"/>
      <c r="J30" s="3" t="n"/>
      <c r="K30" s="3" t="n">
        <v>0</v>
      </c>
      <c r="L30" s="3" t="n"/>
      <c r="M30" s="3" t="n"/>
      <c r="N30" s="9">
        <f>G30+H30</f>
        <v/>
      </c>
    </row>
    <row r="31">
      <c r="A31" s="2" t="n">
        <v>30</v>
      </c>
      <c r="B31" s="4" t="n"/>
      <c r="C31" s="2" t="n"/>
      <c r="D31" s="2" t="n"/>
      <c r="E31" s="2" t="n"/>
      <c r="F31" s="2" t="n">
        <v>0</v>
      </c>
      <c r="G31" s="5" t="n">
        <v>0</v>
      </c>
      <c r="H31" s="5" t="n">
        <v>0</v>
      </c>
      <c r="I31" s="2" t="n"/>
      <c r="J31" s="2" t="n"/>
      <c r="K31" s="2" t="n">
        <v>0</v>
      </c>
      <c r="L31" s="2" t="n"/>
      <c r="M31" s="2" t="n"/>
      <c r="N31" s="6">
        <f>G31+H31</f>
        <v/>
      </c>
    </row>
    <row r="32">
      <c r="A32" s="3" t="n">
        <v>31</v>
      </c>
      <c r="B32" s="7" t="n"/>
      <c r="C32" s="3" t="n"/>
      <c r="D32" s="3" t="n"/>
      <c r="E32" s="3" t="n"/>
      <c r="F32" s="3" t="n">
        <v>0</v>
      </c>
      <c r="G32" s="8" t="n">
        <v>0</v>
      </c>
      <c r="H32" s="8" t="n">
        <v>0</v>
      </c>
      <c r="I32" s="3" t="n"/>
      <c r="J32" s="3" t="n"/>
      <c r="K32" s="3" t="n">
        <v>0</v>
      </c>
      <c r="L32" s="3" t="n"/>
      <c r="M32" s="3" t="n"/>
      <c r="N32" s="9">
        <f>G32+H32</f>
        <v/>
      </c>
    </row>
    <row r="33">
      <c r="A33" s="2" t="n">
        <v>32</v>
      </c>
      <c r="B33" s="4" t="n"/>
      <c r="C33" s="2" t="n"/>
      <c r="D33" s="2" t="n"/>
      <c r="E33" s="2" t="n"/>
      <c r="F33" s="2" t="n">
        <v>0</v>
      </c>
      <c r="G33" s="5" t="n">
        <v>0</v>
      </c>
      <c r="H33" s="5" t="n">
        <v>0</v>
      </c>
      <c r="I33" s="2" t="n"/>
      <c r="J33" s="2" t="n"/>
      <c r="K33" s="2" t="n">
        <v>0</v>
      </c>
      <c r="L33" s="2" t="n"/>
      <c r="M33" s="2" t="n"/>
      <c r="N33" s="6">
        <f>G33+H33</f>
        <v/>
      </c>
    </row>
    <row r="34">
      <c r="A34" s="3" t="n"/>
      <c r="B34" s="3" t="n"/>
      <c r="C34" s="3" t="n"/>
      <c r="D34" s="3" t="n"/>
      <c r="E34" s="3" t="n"/>
      <c r="F34" s="3" t="n"/>
      <c r="G34" s="8" t="n"/>
      <c r="H34" s="8" t="n"/>
      <c r="I34" s="3" t="n"/>
      <c r="J34" s="3" t="n"/>
      <c r="K34" s="3" t="n"/>
      <c r="L34" s="3" t="n"/>
      <c r="M34" s="3" t="n"/>
      <c r="N34" s="8" t="n"/>
    </row>
    <row r="35">
      <c r="A35" s="2" t="inlineStr">
        <is>
          <t>BU SAYFANIN TOPLAMI</t>
        </is>
      </c>
      <c r="B35" s="2" t="n"/>
      <c r="C35" s="2" t="n"/>
      <c r="D35" s="2" t="n"/>
      <c r="E35" s="2" t="n"/>
      <c r="F35" s="10">
        <f>SUM(F9:F33)</f>
        <v/>
      </c>
      <c r="G35" s="6">
        <f>SUM(G9:G33)</f>
        <v/>
      </c>
      <c r="H35" s="6">
        <f>SUM(H9:H33)</f>
        <v/>
      </c>
      <c r="I35" s="2" t="n"/>
      <c r="J35" s="2" t="n"/>
      <c r="K35" s="2" t="n"/>
      <c r="L35" s="2" t="n"/>
      <c r="M35" s="2" t="n"/>
      <c r="N35" s="6">
        <f>SUM(N9:N33)</f>
        <v/>
      </c>
    </row>
    <row r="36">
      <c r="A36" s="3" t="inlineStr">
        <is>
          <t>ÖNCEKİ SAYFADAN DEVİR</t>
        </is>
      </c>
      <c r="B36" s="3" t="n"/>
      <c r="C36" s="3" t="n"/>
      <c r="D36" s="3" t="n"/>
      <c r="E36" s="3" t="n"/>
      <c r="F36" s="11">
        <f>'Emekli Ek Belge'!F17</f>
        <v/>
      </c>
      <c r="G36" s="9">
        <f>'Emekli Ek Belge'!G17</f>
        <v/>
      </c>
      <c r="H36" s="9">
        <f>'Emekli Ek Belge'!H17</f>
        <v/>
      </c>
      <c r="I36" s="3" t="n"/>
      <c r="J36" s="3" t="n"/>
      <c r="K36" s="3" t="n"/>
      <c r="L36" s="3" t="n"/>
      <c r="M36" s="3" t="n"/>
      <c r="N36" s="9">
        <f>'Emekli Ek Belge'!N17</f>
        <v/>
      </c>
    </row>
    <row r="37">
      <c r="A37" s="2" t="inlineStr">
        <is>
          <t>BU SAYFA DAHİL TOPLAM</t>
        </is>
      </c>
      <c r="B37" s="2" t="n"/>
      <c r="C37" s="2" t="n"/>
      <c r="D37" s="2" t="n"/>
      <c r="E37" s="2" t="n"/>
      <c r="F37" s="10">
        <f>F35+F36</f>
        <v/>
      </c>
      <c r="G37" s="6">
        <f>G35+G36</f>
        <v/>
      </c>
      <c r="H37" s="6">
        <f>H35+H36</f>
        <v/>
      </c>
      <c r="I37" s="2" t="n"/>
      <c r="J37" s="2" t="n"/>
      <c r="K37" s="2" t="n"/>
      <c r="L37" s="2" t="n"/>
      <c r="M37" s="2" t="n"/>
      <c r="N37" s="6">
        <f>N35+N36</f>
        <v/>
      </c>
    </row>
  </sheetData>
  <mergeCells count="1">
    <mergeCell ref="A1:H2"/>
  </mergeCells>
  <dataValidations count="2">
    <dataValidation sqref="F9:F33 K9:K33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G9:H33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L5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20" customWidth="1" min="4" max="4"/>
    <col width="20" customWidth="1" min="5" max="5"/>
    <col width="10" customWidth="1" min="6" max="6"/>
    <col width="22" customWidth="1" min="7" max="7"/>
    <col width="22" customWidth="1" min="8" max="8"/>
    <col width="4" customWidth="1" min="9" max="9"/>
    <col width="31" customWidth="1" min="10" max="10"/>
    <col width="15" customWidth="1" min="11" max="11"/>
    <col width="23" customWidth="1" min="12" max="12"/>
  </cols>
  <sheetData>
    <row r="1" ht="25" customHeight="1">
      <c r="A1" s="1" t="inlineStr">
        <is>
          <t>TAHAKKUK | Normal Çalışan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Prime esas kazanç</t>
        </is>
      </c>
      <c r="B4" s="9">
        <f>SUM(C9:D58)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Çalışan kazançları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30" customHeight="1">
      <c r="A8" s="3" t="inlineStr">
        <is>
          <t>Sıra</t>
        </is>
      </c>
      <c r="B8" s="3" t="inlineStr">
        <is>
          <t>Çalışan adı</t>
        </is>
      </c>
      <c r="C8" s="3" t="inlineStr">
        <is>
          <t>Ücret</t>
        </is>
      </c>
      <c r="D8" s="3" t="inlineStr">
        <is>
          <t>İkramiye</t>
        </is>
      </c>
      <c r="E8" s="3" t="inlineStr">
        <is>
          <t>Gün</t>
        </is>
      </c>
      <c r="F8" s="3" t="inlineStr"/>
      <c r="G8" s="3" t="inlineStr">
        <is>
          <t>Kazanç</t>
        </is>
      </c>
      <c r="H8" s="3" t="n"/>
      <c r="I8" s="3" t="n"/>
      <c r="J8" s="3" t="n"/>
      <c r="K8" s="3" t="n"/>
      <c r="L8" s="3" t="n"/>
    </row>
    <row r="9">
      <c r="A9" s="2" t="n">
        <v>1</v>
      </c>
      <c r="B9" s="2" t="inlineStr"/>
      <c r="C9" s="5" t="n">
        <v>60665</v>
      </c>
      <c r="D9" s="5" t="n">
        <v>0</v>
      </c>
      <c r="E9" s="2" t="n">
        <v>30</v>
      </c>
      <c r="F9" s="2" t="n"/>
      <c r="G9" s="6">
        <f>C9+D9</f>
        <v/>
      </c>
      <c r="H9" s="2" t="n"/>
      <c r="I9" s="2" t="n"/>
      <c r="J9" s="2" t="inlineStr">
        <is>
          <t>Kısa vadeli sigorta</t>
        </is>
      </c>
      <c r="K9" s="2" t="n">
        <v>2.25</v>
      </c>
      <c r="L9" s="6">
        <f>$B$4*K9/100</f>
        <v/>
      </c>
    </row>
    <row r="10">
      <c r="A10" s="3" t="n">
        <v>2</v>
      </c>
      <c r="B10" s="3" t="inlineStr"/>
      <c r="C10" s="8" t="n">
        <v>27777.86</v>
      </c>
      <c r="D10" s="8" t="n">
        <v>0</v>
      </c>
      <c r="E10" s="3" t="n">
        <v>23</v>
      </c>
      <c r="F10" s="3" t="n"/>
      <c r="G10" s="9">
        <f>C10+D10</f>
        <v/>
      </c>
      <c r="H10" s="3" t="n"/>
      <c r="I10" s="3" t="n"/>
      <c r="J10" s="3" t="inlineStr">
        <is>
          <t>Malullük / yaşlılık / ölüm</t>
        </is>
      </c>
      <c r="K10" s="3" t="n">
        <v>21</v>
      </c>
      <c r="L10" s="9">
        <f>$B$4*K10/100</f>
        <v/>
      </c>
    </row>
    <row r="11">
      <c r="A11" s="2" t="n">
        <v>3</v>
      </c>
      <c r="B11" s="2" t="inlineStr"/>
      <c r="C11" s="5" t="n">
        <v>72835</v>
      </c>
      <c r="D11" s="5" t="n">
        <v>2589.69</v>
      </c>
      <c r="E11" s="2" t="n">
        <v>30</v>
      </c>
      <c r="F11" s="2" t="n"/>
      <c r="G11" s="6">
        <f>C11+D11</f>
        <v/>
      </c>
      <c r="H11" s="2" t="n"/>
      <c r="I11" s="2" t="n"/>
      <c r="J11" s="2" t="inlineStr">
        <is>
          <t>Genel sağlık sigortası</t>
        </is>
      </c>
      <c r="K11" s="2" t="n">
        <v>12.5</v>
      </c>
      <c r="L11" s="6">
        <f>$B$4*K11/100</f>
        <v/>
      </c>
    </row>
    <row r="12">
      <c r="A12" s="3" t="n">
        <v>4</v>
      </c>
      <c r="B12" s="3" t="inlineStr"/>
      <c r="C12" s="8" t="n">
        <v>36232</v>
      </c>
      <c r="D12" s="8" t="n">
        <v>644.12</v>
      </c>
      <c r="E12" s="3" t="n">
        <v>30</v>
      </c>
      <c r="F12" s="3" t="n"/>
      <c r="G12" s="9">
        <f>C12+D12</f>
        <v/>
      </c>
      <c r="H12" s="3" t="n"/>
      <c r="I12" s="3" t="n"/>
      <c r="J12" s="3" t="inlineStr">
        <is>
          <t>İşsizlik sigortası</t>
        </is>
      </c>
      <c r="K12" s="3" t="n">
        <v>3</v>
      </c>
      <c r="L12" s="9">
        <f>$B$4*K12/100</f>
        <v/>
      </c>
    </row>
    <row r="13">
      <c r="A13" s="2" t="n">
        <v>5</v>
      </c>
      <c r="B13" s="2" t="inlineStr"/>
      <c r="C13" s="5" t="n">
        <v>40316</v>
      </c>
      <c r="D13" s="5" t="n">
        <v>0</v>
      </c>
      <c r="E13" s="2" t="n">
        <v>30</v>
      </c>
      <c r="F13" s="2" t="n"/>
      <c r="G13" s="6">
        <f>C13+D13</f>
        <v/>
      </c>
      <c r="H13" s="2" t="n"/>
      <c r="I13" s="2" t="n"/>
      <c r="J13" s="2" t="inlineStr">
        <is>
          <t>Sosyal güvenlik destek primi</t>
        </is>
      </c>
      <c r="K13" s="2" t="n">
        <v>0</v>
      </c>
      <c r="L13" s="6">
        <f>$B$4*K13/100</f>
        <v/>
      </c>
    </row>
    <row r="14">
      <c r="A14" s="3" t="n">
        <v>6</v>
      </c>
      <c r="B14" s="3" t="inlineStr"/>
      <c r="C14" s="8" t="n">
        <v>84025</v>
      </c>
      <c r="D14" s="8" t="n">
        <v>17925.34</v>
      </c>
      <c r="E14" s="3" t="n">
        <v>30</v>
      </c>
      <c r="F14" s="3" t="n"/>
      <c r="G14" s="9">
        <f>C14+D14</f>
        <v/>
      </c>
      <c r="H14" s="3" t="n"/>
      <c r="I14" s="3" t="n"/>
      <c r="J14" s="3" t="inlineStr">
        <is>
          <t>4857 / 6111 indirimi uygulansın (1/0)</t>
        </is>
      </c>
      <c r="K14" s="3" t="n">
        <v>0</v>
      </c>
      <c r="L14" s="3" t="n"/>
    </row>
    <row r="15">
      <c r="A15" s="2" t="n">
        <v>7</v>
      </c>
      <c r="B15" s="2" t="inlineStr"/>
      <c r="C15" s="5" t="n">
        <v>36232</v>
      </c>
      <c r="D15" s="5" t="n">
        <v>1288.25</v>
      </c>
      <c r="E15" s="2" t="n">
        <v>30</v>
      </c>
      <c r="F15" s="2" t="n"/>
      <c r="G15" s="6">
        <f>C15+D15</f>
        <v/>
      </c>
      <c r="H15" s="2" t="n"/>
      <c r="I15" s="2" t="n"/>
      <c r="J15" s="2" t="inlineStr">
        <is>
          <t>Ek grup dahil edilsin (1/0)</t>
        </is>
      </c>
      <c r="K15" s="2" t="n">
        <v>0</v>
      </c>
      <c r="L15" s="2" t="n"/>
    </row>
    <row r="16">
      <c r="A16" s="3" t="n">
        <v>8</v>
      </c>
      <c r="B16" s="3" t="inlineStr"/>
      <c r="C16" s="8" t="n">
        <v>51566.66</v>
      </c>
      <c r="D16" s="8" t="n">
        <v>0</v>
      </c>
      <c r="E16" s="3" t="n">
        <v>28</v>
      </c>
      <c r="F16" s="3" t="n"/>
      <c r="G16" s="9">
        <f>C16+D16</f>
        <v/>
      </c>
      <c r="H16" s="3" t="n"/>
      <c r="I16" s="3" t="n"/>
      <c r="J16" s="3" t="n"/>
      <c r="K16" s="3" t="n"/>
      <c r="L16" s="3" t="n"/>
    </row>
    <row r="17">
      <c r="A17" s="2" t="n">
        <v>9</v>
      </c>
      <c r="B17" s="2" t="inlineStr"/>
      <c r="C17" s="5" t="n">
        <v>36232</v>
      </c>
      <c r="D17" s="5" t="n">
        <v>3220.62</v>
      </c>
      <c r="E17" s="2" t="n">
        <v>30</v>
      </c>
      <c r="F17" s="2" t="n"/>
      <c r="G17" s="6">
        <f>C17+D17</f>
        <v/>
      </c>
      <c r="H17" s="2" t="n"/>
      <c r="I17" s="2" t="n"/>
      <c r="J17" s="2" t="inlineStr">
        <is>
          <t>05510 indirim oranı (%)</t>
        </is>
      </c>
      <c r="K17" s="2" t="n">
        <v>2</v>
      </c>
      <c r="L17" s="6">
        <f>B4*K17/100</f>
        <v/>
      </c>
    </row>
    <row r="18">
      <c r="A18" s="3" t="n">
        <v>10</v>
      </c>
      <c r="B18" s="3" t="inlineStr"/>
      <c r="C18" s="8" t="n">
        <v>36232</v>
      </c>
      <c r="D18" s="8" t="n">
        <v>1932.37</v>
      </c>
      <c r="E18" s="3" t="n">
        <v>30</v>
      </c>
      <c r="F18" s="3" t="n"/>
      <c r="G18" s="9">
        <f>C18+D18</f>
        <v/>
      </c>
      <c r="H18" s="3" t="n"/>
      <c r="I18" s="3" t="n"/>
      <c r="J18" s="3" t="inlineStr">
        <is>
          <t>Teşvik oranı (%)</t>
        </is>
      </c>
      <c r="K18" s="3" t="n">
        <v>0</v>
      </c>
      <c r="L18" s="9">
        <f>B4*K18/100</f>
        <v/>
      </c>
    </row>
    <row r="19">
      <c r="A19" s="2" t="n">
        <v>11</v>
      </c>
      <c r="B19" s="2" t="inlineStr"/>
      <c r="C19" s="5" t="n">
        <v>36232</v>
      </c>
      <c r="D19" s="5" t="n">
        <v>1932.37</v>
      </c>
      <c r="E19" s="2" t="n">
        <v>30</v>
      </c>
      <c r="F19" s="2" t="n"/>
      <c r="G19" s="6">
        <f>C19+D19</f>
        <v/>
      </c>
      <c r="H19" s="2" t="n"/>
      <c r="I19" s="2" t="n"/>
      <c r="J19" s="2" t="n"/>
      <c r="K19" s="2" t="n"/>
      <c r="L19" s="2" t="n"/>
    </row>
    <row r="20">
      <c r="A20" s="3" t="n">
        <v>12</v>
      </c>
      <c r="B20" s="3" t="inlineStr"/>
      <c r="C20" s="8" t="n">
        <v>84025</v>
      </c>
      <c r="D20" s="8" t="n">
        <v>37344.45</v>
      </c>
      <c r="E20" s="3" t="n">
        <v>30</v>
      </c>
      <c r="F20" s="3" t="n"/>
      <c r="G20" s="9">
        <f>C20+D20</f>
        <v/>
      </c>
      <c r="H20" s="3" t="n"/>
      <c r="I20" s="3" t="n"/>
      <c r="J20" s="3" t="inlineStr">
        <is>
          <t>Toplam sigorta primi</t>
        </is>
      </c>
      <c r="K20" s="3" t="n"/>
      <c r="L20" s="9">
        <f>SUM(L9:L11,L13)</f>
        <v/>
      </c>
    </row>
    <row r="21">
      <c r="A21" s="2" t="n">
        <v>13</v>
      </c>
      <c r="B21" s="2" t="inlineStr"/>
      <c r="C21" s="5" t="n">
        <v>36232</v>
      </c>
      <c r="D21" s="5" t="n">
        <v>3220.62</v>
      </c>
      <c r="E21" s="2" t="n">
        <v>30</v>
      </c>
      <c r="F21" s="2" t="n"/>
      <c r="G21" s="6">
        <f>C21+D21</f>
        <v/>
      </c>
      <c r="H21" s="2" t="n"/>
      <c r="I21" s="2" t="n"/>
      <c r="J21" s="2" t="inlineStr">
        <is>
          <t>Net sigorta primi</t>
        </is>
      </c>
      <c r="K21" s="2" t="n"/>
      <c r="L21" s="6">
        <f>L20-L17-L18*K14</f>
        <v/>
      </c>
    </row>
    <row r="22">
      <c r="A22" s="3" t="n">
        <v>14</v>
      </c>
      <c r="B22" s="3" t="inlineStr"/>
      <c r="C22" s="8" t="n">
        <v>8454.129999999999</v>
      </c>
      <c r="D22" s="8" t="n">
        <v>0</v>
      </c>
      <c r="E22" s="3" t="n">
        <v>7</v>
      </c>
      <c r="F22" s="3" t="n"/>
      <c r="G22" s="9">
        <f>C22+D22</f>
        <v/>
      </c>
      <c r="H22" s="3" t="n"/>
      <c r="I22" s="3" t="n"/>
      <c r="J22" s="3" t="inlineStr">
        <is>
          <t>İşsizlik sigortası</t>
        </is>
      </c>
      <c r="K22" s="3" t="n"/>
      <c r="L22" s="9">
        <f>L12</f>
        <v/>
      </c>
    </row>
    <row r="23">
      <c r="A23" s="2" t="n">
        <v>15</v>
      </c>
      <c r="B23" s="2" t="inlineStr"/>
      <c r="C23" s="5" t="n">
        <v>55250</v>
      </c>
      <c r="D23" s="5" t="n">
        <v>0</v>
      </c>
      <c r="E23" s="2" t="n">
        <v>30</v>
      </c>
      <c r="F23" s="2" t="n"/>
      <c r="G23" s="6">
        <f>C23+D23</f>
        <v/>
      </c>
      <c r="H23" s="2" t="n"/>
      <c r="I23" s="2" t="n"/>
      <c r="J23" s="2" t="n"/>
      <c r="K23" s="2" t="n"/>
      <c r="L23" s="2" t="n"/>
    </row>
    <row r="24">
      <c r="A24" s="3" t="n">
        <v>16</v>
      </c>
      <c r="B24" s="3" t="inlineStr"/>
      <c r="C24" s="8" t="n">
        <v>36232</v>
      </c>
      <c r="D24" s="8" t="n">
        <v>644.12</v>
      </c>
      <c r="E24" s="3" t="n">
        <v>30</v>
      </c>
      <c r="F24" s="3" t="n"/>
      <c r="G24" s="9">
        <f>C24+D24</f>
        <v/>
      </c>
      <c r="H24" s="3" t="n"/>
      <c r="I24" s="3" t="n"/>
      <c r="J24" s="3" t="inlineStr">
        <is>
          <t>ÖDENECEK TUTAR</t>
        </is>
      </c>
      <c r="K24" s="3" t="n"/>
      <c r="L24" s="9">
        <f>L21+L22</f>
        <v/>
      </c>
    </row>
    <row r="25">
      <c r="A25" s="2" t="n">
        <v>17</v>
      </c>
      <c r="B25" s="2" t="inlineStr"/>
      <c r="C25" s="5" t="n">
        <v>36232</v>
      </c>
      <c r="D25" s="5" t="n">
        <v>1932.37</v>
      </c>
      <c r="E25" s="2" t="n">
        <v>30</v>
      </c>
      <c r="F25" s="2" t="n"/>
      <c r="G25" s="6">
        <f>C25+D25</f>
        <v/>
      </c>
      <c r="H25" s="2" t="n"/>
      <c r="I25" s="2" t="n"/>
      <c r="J25" s="2" t="n"/>
      <c r="K25" s="2" t="n"/>
      <c r="L25" s="2" t="n"/>
    </row>
    <row r="26">
      <c r="A26" s="3" t="n">
        <v>18</v>
      </c>
      <c r="B26" s="3" t="inlineStr"/>
      <c r="C26" s="8" t="n">
        <v>36232</v>
      </c>
      <c r="D26" s="8" t="n">
        <v>644.12</v>
      </c>
      <c r="E26" s="3" t="n">
        <v>30</v>
      </c>
      <c r="F26" s="3" t="n"/>
      <c r="G26" s="9">
        <f>C26+D26</f>
        <v/>
      </c>
      <c r="H26" s="3" t="n"/>
      <c r="I26" s="3" t="n"/>
      <c r="J26" s="3" t="inlineStr">
        <is>
          <t>Toplam prim günü</t>
        </is>
      </c>
      <c r="K26" s="3" t="n"/>
      <c r="L26" s="11">
        <f>SUM(E9:E58)</f>
        <v/>
      </c>
    </row>
    <row r="27">
      <c r="A27" s="2" t="n">
        <v>19</v>
      </c>
      <c r="B27" s="2" t="inlineStr"/>
      <c r="C27" s="5" t="n">
        <v>72835</v>
      </c>
      <c r="D27" s="5" t="n">
        <v>15538.14</v>
      </c>
      <c r="E27" s="2" t="n">
        <v>30</v>
      </c>
      <c r="F27" s="2" t="n"/>
      <c r="G27" s="6">
        <f>C27+D27</f>
        <v/>
      </c>
      <c r="H27" s="2" t="n"/>
      <c r="I27" s="2" t="n"/>
      <c r="J27" s="2" t="n"/>
      <c r="K27" s="2" t="n"/>
      <c r="L27" s="2" t="n"/>
    </row>
    <row r="28">
      <c r="A28" s="3" t="n">
        <v>20</v>
      </c>
      <c r="B28" s="3" t="inlineStr"/>
      <c r="C28" s="8" t="n">
        <v>36232</v>
      </c>
      <c r="D28" s="8" t="n">
        <v>0</v>
      </c>
      <c r="E28" s="3" t="n">
        <v>30</v>
      </c>
      <c r="F28" s="3" t="n"/>
      <c r="G28" s="9">
        <f>C28+D28</f>
        <v/>
      </c>
      <c r="H28" s="3" t="n"/>
      <c r="I28" s="3" t="n"/>
      <c r="J28" s="3" t="n"/>
      <c r="K28" s="3" t="n"/>
      <c r="L28" s="3" t="n"/>
    </row>
    <row r="29">
      <c r="A29" s="2" t="n">
        <v>21</v>
      </c>
      <c r="B29" s="2" t="inlineStr"/>
      <c r="C29" s="5" t="n">
        <v>72835</v>
      </c>
      <c r="D29" s="5" t="n">
        <v>10358.76</v>
      </c>
      <c r="E29" s="2" t="n">
        <v>30</v>
      </c>
      <c r="F29" s="2" t="n"/>
      <c r="G29" s="6">
        <f>C29+D29</f>
        <v/>
      </c>
      <c r="H29" s="2" t="n"/>
      <c r="I29" s="2" t="n"/>
      <c r="J29" s="2" t="n"/>
      <c r="K29" s="2" t="n"/>
      <c r="L29" s="2" t="n"/>
    </row>
    <row r="30">
      <c r="A30" s="3" t="n">
        <v>22</v>
      </c>
      <c r="B30" s="3" t="inlineStr"/>
      <c r="C30" s="8" t="n">
        <v>36232</v>
      </c>
      <c r="D30" s="8" t="n">
        <v>1932.37</v>
      </c>
      <c r="E30" s="3" t="n">
        <v>30</v>
      </c>
      <c r="F30" s="3" t="n"/>
      <c r="G30" s="9">
        <f>C30+D30</f>
        <v/>
      </c>
      <c r="H30" s="3" t="n"/>
      <c r="I30" s="3" t="n"/>
      <c r="J30" s="3" t="n"/>
      <c r="K30" s="3" t="n"/>
      <c r="L30" s="3" t="n"/>
    </row>
    <row r="31">
      <c r="A31" s="2" t="n">
        <v>23</v>
      </c>
      <c r="B31" s="2" t="inlineStr"/>
      <c r="C31" s="5" t="n">
        <v>72835</v>
      </c>
      <c r="D31" s="5" t="n">
        <v>28486.57</v>
      </c>
      <c r="E31" s="2" t="n">
        <v>30</v>
      </c>
      <c r="F31" s="2" t="n"/>
      <c r="G31" s="6">
        <f>C31+D31</f>
        <v/>
      </c>
      <c r="H31" s="2" t="n"/>
      <c r="I31" s="2" t="n"/>
      <c r="J31" s="2" t="n"/>
      <c r="K31" s="2" t="n"/>
      <c r="L31" s="2" t="n"/>
    </row>
    <row r="32">
      <c r="A32" s="3" t="n">
        <v>24</v>
      </c>
      <c r="B32" s="3" t="inlineStr"/>
      <c r="C32" s="8" t="n">
        <v>36232</v>
      </c>
      <c r="D32" s="8" t="n">
        <v>3220.62</v>
      </c>
      <c r="E32" s="3" t="n">
        <v>30</v>
      </c>
      <c r="F32" s="3" t="n"/>
      <c r="G32" s="9">
        <f>C32+D32</f>
        <v/>
      </c>
      <c r="H32" s="3" t="n"/>
      <c r="I32" s="3" t="n"/>
      <c r="J32" s="3" t="n"/>
      <c r="K32" s="3" t="n"/>
      <c r="L32" s="3" t="n"/>
    </row>
    <row r="33">
      <c r="A33" s="2" t="n">
        <v>25</v>
      </c>
      <c r="B33" s="2" t="inlineStr"/>
      <c r="C33" s="5" t="n">
        <v>27777.86</v>
      </c>
      <c r="D33" s="5" t="n">
        <v>1932.37</v>
      </c>
      <c r="E33" s="2" t="n">
        <v>23</v>
      </c>
      <c r="F33" s="2" t="n"/>
      <c r="G33" s="6">
        <f>C33+D33</f>
        <v/>
      </c>
      <c r="H33" s="2" t="n"/>
      <c r="I33" s="2" t="n"/>
      <c r="J33" s="2" t="n"/>
      <c r="K33" s="2" t="n"/>
      <c r="L33" s="2" t="n"/>
    </row>
    <row r="34">
      <c r="A34" s="3" t="n">
        <v>26</v>
      </c>
      <c r="B34" s="3" t="inlineStr"/>
      <c r="C34" s="8" t="n">
        <v>36232</v>
      </c>
      <c r="D34" s="8" t="n">
        <v>3220.62</v>
      </c>
      <c r="E34" s="3" t="n">
        <v>30</v>
      </c>
      <c r="F34" s="3" t="n"/>
      <c r="G34" s="9">
        <f>C34+D34</f>
        <v/>
      </c>
      <c r="H34" s="3" t="n"/>
      <c r="I34" s="3" t="n"/>
      <c r="J34" s="3" t="n"/>
      <c r="K34" s="3" t="n"/>
      <c r="L34" s="3" t="n"/>
    </row>
    <row r="35">
      <c r="A35" s="2" t="n">
        <v>27</v>
      </c>
      <c r="B35" s="2" t="inlineStr"/>
      <c r="C35" s="5" t="n">
        <v>36232</v>
      </c>
      <c r="D35" s="5" t="n">
        <v>644.12</v>
      </c>
      <c r="E35" s="2" t="n">
        <v>30</v>
      </c>
      <c r="F35" s="2" t="n"/>
      <c r="G35" s="6">
        <f>C35+D35</f>
        <v/>
      </c>
      <c r="H35" s="2" t="n"/>
      <c r="I35" s="2" t="n"/>
      <c r="J35" s="2" t="n"/>
      <c r="K35" s="2" t="n"/>
      <c r="L35" s="2" t="n"/>
    </row>
    <row r="36">
      <c r="A36" s="3" t="n">
        <v>28</v>
      </c>
      <c r="B36" s="3" t="inlineStr"/>
      <c r="C36" s="8" t="n">
        <v>36232</v>
      </c>
      <c r="D36" s="8" t="n">
        <v>644.12</v>
      </c>
      <c r="E36" s="3" t="n">
        <v>30</v>
      </c>
      <c r="F36" s="3" t="n"/>
      <c r="G36" s="9">
        <f>C36+D36</f>
        <v/>
      </c>
      <c r="H36" s="3" t="n"/>
      <c r="I36" s="3" t="n"/>
      <c r="J36" s="3" t="n"/>
      <c r="K36" s="3" t="n"/>
      <c r="L36" s="3" t="n"/>
    </row>
    <row r="37">
      <c r="A37" s="2" t="n">
        <v>29</v>
      </c>
      <c r="B37" s="2" t="inlineStr"/>
      <c r="C37" s="5" t="n">
        <v>72835</v>
      </c>
      <c r="D37" s="5" t="n">
        <v>2589.69</v>
      </c>
      <c r="E37" s="2" t="n">
        <v>30</v>
      </c>
      <c r="F37" s="2" t="n"/>
      <c r="G37" s="6">
        <f>C37+D37</f>
        <v/>
      </c>
      <c r="H37" s="2" t="n"/>
      <c r="I37" s="2" t="n"/>
      <c r="J37" s="2" t="n"/>
      <c r="K37" s="2" t="n"/>
      <c r="L37" s="2" t="n"/>
    </row>
    <row r="38">
      <c r="A38" s="3" t="n">
        <v>30</v>
      </c>
      <c r="B38" s="3" t="inlineStr"/>
      <c r="C38" s="8" t="n">
        <v>19323.73</v>
      </c>
      <c r="D38" s="8" t="n">
        <v>644.12</v>
      </c>
      <c r="E38" s="3" t="n">
        <v>16</v>
      </c>
      <c r="F38" s="3" t="n"/>
      <c r="G38" s="9">
        <f>C38+D38</f>
        <v/>
      </c>
      <c r="H38" s="3" t="n"/>
      <c r="I38" s="3" t="n"/>
      <c r="J38" s="3" t="n"/>
      <c r="K38" s="3" t="n"/>
      <c r="L38" s="3" t="n"/>
    </row>
    <row r="39">
      <c r="A39" s="2" t="n">
        <v>31</v>
      </c>
      <c r="B39" s="2" t="inlineStr"/>
      <c r="C39" s="5" t="n">
        <v>36232</v>
      </c>
      <c r="D39" s="5" t="n">
        <v>644.12</v>
      </c>
      <c r="E39" s="2" t="n">
        <v>30</v>
      </c>
      <c r="F39" s="2" t="n"/>
      <c r="G39" s="6">
        <f>C39+D39</f>
        <v/>
      </c>
      <c r="H39" s="2" t="n"/>
      <c r="I39" s="2" t="n"/>
      <c r="J39" s="2" t="n"/>
      <c r="K39" s="2" t="n"/>
      <c r="L39" s="2" t="n"/>
    </row>
    <row r="40">
      <c r="A40" s="3" t="n">
        <v>32</v>
      </c>
      <c r="B40" s="3" t="inlineStr"/>
      <c r="C40" s="8" t="n">
        <v>86123</v>
      </c>
      <c r="D40" s="8" t="n">
        <v>22966.13</v>
      </c>
      <c r="E40" s="3" t="n">
        <v>30</v>
      </c>
      <c r="F40" s="3" t="n"/>
      <c r="G40" s="9">
        <f>C40+D40</f>
        <v/>
      </c>
      <c r="H40" s="3" t="n"/>
      <c r="I40" s="3" t="n"/>
      <c r="J40" s="3" t="n"/>
      <c r="K40" s="3" t="n"/>
      <c r="L40" s="3" t="n"/>
    </row>
    <row r="41">
      <c r="A41" s="2" t="n">
        <v>33</v>
      </c>
      <c r="B41" s="2" t="inlineStr"/>
      <c r="C41" s="5" t="n">
        <v>10869.57</v>
      </c>
      <c r="D41" s="5" t="n">
        <v>0</v>
      </c>
      <c r="E41" s="2" t="n">
        <v>9</v>
      </c>
      <c r="F41" s="2" t="n"/>
      <c r="G41" s="6">
        <f>C41+D41</f>
        <v/>
      </c>
      <c r="H41" s="2" t="n"/>
      <c r="I41" s="2" t="n"/>
      <c r="J41" s="2" t="n"/>
      <c r="K41" s="2" t="n"/>
      <c r="L41" s="2" t="n"/>
    </row>
    <row r="42">
      <c r="A42" s="3" t="n">
        <v>34</v>
      </c>
      <c r="B42" s="3" t="inlineStr"/>
      <c r="C42" s="8" t="n">
        <v>40453</v>
      </c>
      <c r="D42" s="8" t="n">
        <v>0</v>
      </c>
      <c r="E42" s="3" t="n">
        <v>30</v>
      </c>
      <c r="F42" s="3" t="n"/>
      <c r="G42" s="9">
        <f>C42+D42</f>
        <v/>
      </c>
      <c r="H42" s="3" t="n"/>
      <c r="I42" s="3" t="n"/>
      <c r="J42" s="3" t="n"/>
      <c r="K42" s="3" t="n"/>
      <c r="L42" s="3" t="n"/>
    </row>
    <row r="43">
      <c r="A43" s="2" t="n">
        <v>35</v>
      </c>
      <c r="B43" s="2" t="inlineStr"/>
      <c r="C43" s="5" t="n">
        <v>72835</v>
      </c>
      <c r="D43" s="5" t="n">
        <v>2589.69</v>
      </c>
      <c r="E43" s="2" t="n">
        <v>30</v>
      </c>
      <c r="F43" s="2" t="n"/>
      <c r="G43" s="6">
        <f>C43+D43</f>
        <v/>
      </c>
      <c r="H43" s="2" t="n"/>
      <c r="I43" s="2" t="n"/>
      <c r="J43" s="2" t="n"/>
      <c r="K43" s="2" t="n"/>
      <c r="L43" s="2" t="n"/>
    </row>
    <row r="44">
      <c r="A44" s="3" t="n">
        <v>36</v>
      </c>
      <c r="B44" s="3" t="inlineStr"/>
      <c r="C44" s="8" t="n">
        <v>55250</v>
      </c>
      <c r="D44" s="8" t="n">
        <v>0</v>
      </c>
      <c r="E44" s="3" t="n">
        <v>30</v>
      </c>
      <c r="F44" s="3" t="n"/>
      <c r="G44" s="9">
        <f>C44+D44</f>
        <v/>
      </c>
      <c r="H44" s="3" t="n"/>
      <c r="I44" s="3" t="n"/>
      <c r="J44" s="3" t="n"/>
      <c r="K44" s="3" t="n"/>
      <c r="L44" s="3" t="n"/>
    </row>
    <row r="45">
      <c r="A45" s="2" t="n">
        <v>37</v>
      </c>
      <c r="B45" s="2" t="inlineStr"/>
      <c r="C45" s="5" t="n">
        <v>36232</v>
      </c>
      <c r="D45" s="5" t="n">
        <v>3220.62</v>
      </c>
      <c r="E45" s="2" t="n">
        <v>30</v>
      </c>
      <c r="F45" s="2" t="n"/>
      <c r="G45" s="6">
        <f>C45+D45</f>
        <v/>
      </c>
      <c r="H45" s="2" t="n"/>
      <c r="I45" s="2" t="n"/>
      <c r="J45" s="2" t="n"/>
      <c r="K45" s="2" t="n"/>
      <c r="L45" s="2" t="n"/>
    </row>
    <row r="46">
      <c r="A46" s="3" t="n">
        <v>38</v>
      </c>
      <c r="B46" s="3" t="inlineStr"/>
      <c r="C46" s="8" t="n">
        <v>36232</v>
      </c>
      <c r="D46" s="8" t="n">
        <v>3220.62</v>
      </c>
      <c r="E46" s="3" t="n">
        <v>30</v>
      </c>
      <c r="F46" s="3" t="n"/>
      <c r="G46" s="9">
        <f>C46+D46</f>
        <v/>
      </c>
      <c r="H46" s="3" t="n"/>
      <c r="I46" s="3" t="n"/>
      <c r="J46" s="3" t="n"/>
      <c r="K46" s="3" t="n"/>
      <c r="L46" s="3" t="n"/>
    </row>
    <row r="47">
      <c r="A47" s="2" t="n">
        <v>39</v>
      </c>
      <c r="B47" s="2" t="inlineStr"/>
      <c r="C47" s="5" t="n">
        <v>8454.129999999999</v>
      </c>
      <c r="D47" s="5" t="n">
        <v>0</v>
      </c>
      <c r="E47" s="2" t="n">
        <v>7</v>
      </c>
      <c r="F47" s="2" t="n"/>
      <c r="G47" s="6">
        <f>C47+D47</f>
        <v/>
      </c>
      <c r="H47" s="2" t="n"/>
      <c r="I47" s="2" t="n"/>
      <c r="J47" s="2" t="n"/>
      <c r="K47" s="2" t="n"/>
      <c r="L47" s="2" t="n"/>
    </row>
    <row r="48">
      <c r="A48" s="3" t="n">
        <v>40</v>
      </c>
      <c r="B48" s="3" t="inlineStr"/>
      <c r="C48" s="8" t="n">
        <v>36232</v>
      </c>
      <c r="D48" s="8" t="n">
        <v>644.12</v>
      </c>
      <c r="E48" s="3" t="n">
        <v>30</v>
      </c>
      <c r="F48" s="3" t="n"/>
      <c r="G48" s="9">
        <f>C48+D48</f>
        <v/>
      </c>
      <c r="H48" s="3" t="n"/>
      <c r="I48" s="3" t="n"/>
      <c r="J48" s="3" t="n"/>
      <c r="K48" s="3" t="n"/>
      <c r="L48" s="3" t="n"/>
    </row>
    <row r="49">
      <c r="A49" s="2" t="n">
        <v>41</v>
      </c>
      <c r="B49" s="2" t="inlineStr"/>
      <c r="C49" s="5" t="n">
        <v>36232</v>
      </c>
      <c r="D49" s="5" t="n">
        <v>644.12</v>
      </c>
      <c r="E49" s="2" t="n">
        <v>30</v>
      </c>
      <c r="F49" s="2" t="n"/>
      <c r="G49" s="6">
        <f>C49+D49</f>
        <v/>
      </c>
      <c r="H49" s="2" t="n"/>
      <c r="I49" s="2" t="n"/>
      <c r="J49" s="2" t="n"/>
      <c r="K49" s="2" t="n"/>
      <c r="L49" s="2" t="n"/>
    </row>
    <row r="50">
      <c r="A50" s="3" t="n">
        <v>42</v>
      </c>
      <c r="B50" s="3" t="inlineStr"/>
      <c r="C50" s="8" t="n">
        <v>73400</v>
      </c>
      <c r="D50" s="8" t="n">
        <v>0</v>
      </c>
      <c r="E50" s="3" t="n">
        <v>30</v>
      </c>
      <c r="F50" s="3" t="n"/>
      <c r="G50" s="9">
        <f>C50+D50</f>
        <v/>
      </c>
      <c r="H50" s="3" t="n"/>
      <c r="I50" s="3" t="n"/>
      <c r="J50" s="3" t="n"/>
      <c r="K50" s="3" t="n"/>
      <c r="L50" s="3" t="n"/>
    </row>
    <row r="51">
      <c r="A51" s="2" t="n">
        <v>43</v>
      </c>
      <c r="B51" s="2" t="inlineStr"/>
      <c r="C51" s="5" t="n">
        <v>55250</v>
      </c>
      <c r="D51" s="5" t="n">
        <v>2946.67</v>
      </c>
      <c r="E51" s="2" t="n">
        <v>30</v>
      </c>
      <c r="F51" s="2" t="n"/>
      <c r="G51" s="6">
        <f>C51+D51</f>
        <v/>
      </c>
      <c r="H51" s="2" t="n"/>
      <c r="I51" s="2" t="n"/>
      <c r="J51" s="2" t="n"/>
      <c r="K51" s="2" t="n"/>
      <c r="L51" s="2" t="n"/>
    </row>
    <row r="52">
      <c r="A52" s="3" t="n">
        <v>44</v>
      </c>
      <c r="B52" s="3" t="inlineStr"/>
      <c r="C52" s="8" t="n">
        <v>36232</v>
      </c>
      <c r="D52" s="8" t="n">
        <v>1932.37</v>
      </c>
      <c r="E52" s="3" t="n">
        <v>30</v>
      </c>
      <c r="F52" s="3" t="n"/>
      <c r="G52" s="9">
        <f>C52+D52</f>
        <v/>
      </c>
      <c r="H52" s="3" t="n"/>
      <c r="I52" s="3" t="n"/>
      <c r="J52" s="3" t="n"/>
      <c r="K52" s="3" t="n"/>
      <c r="L52" s="3" t="n"/>
    </row>
    <row r="53">
      <c r="A53" s="2" t="n">
        <v>45</v>
      </c>
      <c r="B53" s="2" t="inlineStr"/>
      <c r="C53" s="5" t="n">
        <v>36232</v>
      </c>
      <c r="D53" s="5" t="n">
        <v>644.12</v>
      </c>
      <c r="E53" s="2" t="n">
        <v>30</v>
      </c>
      <c r="F53" s="2" t="n"/>
      <c r="G53" s="6">
        <f>C53+D53</f>
        <v/>
      </c>
      <c r="H53" s="2" t="n"/>
      <c r="I53" s="2" t="n"/>
      <c r="J53" s="2" t="n"/>
      <c r="K53" s="2" t="n"/>
      <c r="L53" s="2" t="n"/>
    </row>
    <row r="54">
      <c r="A54" s="3" t="n">
        <v>46</v>
      </c>
      <c r="B54" s="3" t="inlineStr"/>
      <c r="C54" s="8" t="n">
        <v>70107</v>
      </c>
      <c r="D54" s="8" t="n">
        <v>7478.08</v>
      </c>
      <c r="E54" s="3" t="n">
        <v>30</v>
      </c>
      <c r="F54" s="3" t="n"/>
      <c r="G54" s="9">
        <f>C54+D54</f>
        <v/>
      </c>
      <c r="H54" s="3" t="n"/>
      <c r="I54" s="3" t="n"/>
      <c r="J54" s="3" t="n"/>
      <c r="K54" s="3" t="n"/>
      <c r="L54" s="3" t="n"/>
    </row>
    <row r="55">
      <c r="A55" s="2" t="n">
        <v>47</v>
      </c>
      <c r="B55" s="2" t="inlineStr"/>
      <c r="C55" s="5" t="n">
        <v>36232</v>
      </c>
      <c r="D55" s="5" t="n">
        <v>1288.25</v>
      </c>
      <c r="E55" s="2" t="n">
        <v>30</v>
      </c>
      <c r="F55" s="2" t="n"/>
      <c r="G55" s="6">
        <f>C55+D55</f>
        <v/>
      </c>
      <c r="H55" s="2" t="n"/>
      <c r="I55" s="2" t="n"/>
      <c r="J55" s="2" t="n"/>
      <c r="K55" s="2" t="n"/>
      <c r="L55" s="2" t="n"/>
    </row>
    <row r="56">
      <c r="A56" s="3" t="n">
        <v>48</v>
      </c>
      <c r="B56" s="3" t="inlineStr"/>
      <c r="C56" s="8" t="n">
        <v>36232</v>
      </c>
      <c r="D56" s="8" t="n">
        <v>644.12</v>
      </c>
      <c r="E56" s="3" t="n">
        <v>30</v>
      </c>
      <c r="F56" s="3" t="n"/>
      <c r="G56" s="9">
        <f>C56+D56</f>
        <v/>
      </c>
      <c r="H56" s="3" t="n"/>
      <c r="I56" s="3" t="n"/>
      <c r="J56" s="3" t="n"/>
      <c r="K56" s="3" t="n"/>
      <c r="L56" s="3" t="n"/>
    </row>
    <row r="57">
      <c r="A57" s="2" t="n">
        <v>49</v>
      </c>
      <c r="B57" s="2" t="inlineStr"/>
      <c r="C57" s="5" t="n">
        <v>0</v>
      </c>
      <c r="D57" s="5" t="n">
        <v>0</v>
      </c>
      <c r="E57" s="2" t="n">
        <v>0</v>
      </c>
      <c r="F57" s="2" t="n"/>
      <c r="G57" s="6">
        <f>C57+D57</f>
        <v/>
      </c>
      <c r="H57" s="2" t="n"/>
      <c r="I57" s="2" t="n"/>
      <c r="J57" s="2" t="n"/>
      <c r="K57" s="2" t="n"/>
      <c r="L57" s="2" t="n"/>
    </row>
    <row r="58">
      <c r="A58" s="3" t="n">
        <v>50</v>
      </c>
      <c r="B58" s="3" t="inlineStr"/>
      <c r="C58" s="8" t="n">
        <v>0</v>
      </c>
      <c r="D58" s="8" t="n">
        <v>0</v>
      </c>
      <c r="E58" s="3" t="n">
        <v>0</v>
      </c>
      <c r="F58" s="3" t="n"/>
      <c r="G58" s="9">
        <f>C58+D58</f>
        <v/>
      </c>
      <c r="H58" s="3" t="n"/>
      <c r="I58" s="3" t="n"/>
      <c r="J58" s="3" t="n"/>
      <c r="K58" s="3" t="n"/>
      <c r="L58" s="3" t="n"/>
    </row>
    <row r="59">
      <c r="A59" s="2" t="n"/>
      <c r="B59" s="2" t="inlineStr">
        <is>
          <t>TOPLAM</t>
        </is>
      </c>
      <c r="C59" s="10">
        <f>SUM(C9:C58)</f>
        <v/>
      </c>
      <c r="D59" s="10">
        <f>SUM(D9:D58)</f>
        <v/>
      </c>
      <c r="E59" s="10">
        <f>SUM(E9:E58)</f>
        <v/>
      </c>
      <c r="F59" s="2" t="n"/>
      <c r="G59" s="10">
        <f>SUM(G9:G58)</f>
        <v/>
      </c>
      <c r="H59" s="2" t="n"/>
      <c r="I59" s="2" t="n"/>
      <c r="J59" s="2" t="n"/>
      <c r="K59" s="2" t="n"/>
      <c r="L59" s="2" t="n"/>
    </row>
  </sheetData>
  <autoFilter ref="A8:G58"/>
  <mergeCells count="1">
    <mergeCell ref="A1:H2"/>
  </mergeCells>
  <dataValidations count="4">
    <dataValidation sqref="C9:D58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  <dataValidation sqref="E9:E58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K9:K13 K17:K18" showDropDown="0" showInputMessage="0" showErrorMessage="1" allowBlank="0" errorTitle="Geçersiz giriş" error="Sıfır veya daha büyük, geçerli bir değer girin." type="decimal" errorStyle="stop" operator="between">
      <formula1>0</formula1>
      <formula2>100</formula2>
    </dataValidation>
    <dataValidation sqref="K14:K15" showDropDown="0" showInputMessage="0" showErrorMessage="1" allowBlank="0" errorTitle="Geçersiz giriş" error="Sıfır veya daha büyük, geçerli bir değer girin." type="whole" errorStyle="stop" operator="between">
      <formula1>0</formula1>
      <formula2>1</formula2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L5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20" customWidth="1" min="4" max="4"/>
    <col width="20" customWidth="1" min="5" max="5"/>
    <col width="10" customWidth="1" min="6" max="6"/>
    <col width="22" customWidth="1" min="7" max="7"/>
    <col width="22" customWidth="1" min="8" max="8"/>
    <col width="4" customWidth="1" min="9" max="9"/>
    <col width="31" customWidth="1" min="10" max="10"/>
    <col width="15" customWidth="1" min="11" max="11"/>
    <col width="23" customWidth="1" min="12" max="12"/>
  </cols>
  <sheetData>
    <row r="1" ht="25" customHeight="1">
      <c r="A1" s="1" t="inlineStr">
        <is>
          <t>TAHAKKUK | Emekli Çalışan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Prime esas kazanç</t>
        </is>
      </c>
      <c r="B4" s="8" t="n">
        <v>2389818.31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Çalışan kazançları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30" customHeight="1">
      <c r="A8" s="3" t="inlineStr">
        <is>
          <t>Sıra</t>
        </is>
      </c>
      <c r="B8" s="3" t="inlineStr">
        <is>
          <t>Çalışan adı</t>
        </is>
      </c>
      <c r="C8" s="3" t="inlineStr">
        <is>
          <t>Ücret</t>
        </is>
      </c>
      <c r="D8" s="3" t="inlineStr">
        <is>
          <t>İkramiye</t>
        </is>
      </c>
      <c r="E8" s="3" t="inlineStr">
        <is>
          <t>Gün</t>
        </is>
      </c>
      <c r="F8" s="3" t="inlineStr"/>
      <c r="G8" s="3" t="inlineStr">
        <is>
          <t>Kazanç</t>
        </is>
      </c>
      <c r="H8" s="3" t="n"/>
      <c r="I8" s="3" t="n"/>
      <c r="J8" s="3" t="n"/>
      <c r="K8" s="3" t="n"/>
      <c r="L8" s="3" t="n"/>
    </row>
    <row r="9">
      <c r="A9" s="2" t="n">
        <v>1</v>
      </c>
      <c r="B9" s="2" t="inlineStr"/>
      <c r="C9" s="5" t="n">
        <v>0</v>
      </c>
      <c r="D9" s="5" t="n">
        <v>0</v>
      </c>
      <c r="E9" s="2" t="n">
        <v>0</v>
      </c>
      <c r="F9" s="2" t="n"/>
      <c r="G9" s="6">
        <f>C9+D9</f>
        <v/>
      </c>
      <c r="H9" s="2" t="n"/>
      <c r="I9" s="2" t="n"/>
      <c r="J9" s="2" t="inlineStr">
        <is>
          <t>Kısa vadeli sigorta</t>
        </is>
      </c>
      <c r="K9" s="2" t="n">
        <v>2.25</v>
      </c>
      <c r="L9" s="6">
        <f>$B$4*K9/100</f>
        <v/>
      </c>
    </row>
    <row r="10">
      <c r="A10" s="3" t="n">
        <v>2</v>
      </c>
      <c r="B10" s="3" t="inlineStr"/>
      <c r="C10" s="8" t="n">
        <v>0</v>
      </c>
      <c r="D10" s="8" t="n">
        <v>0</v>
      </c>
      <c r="E10" s="3" t="n">
        <v>0</v>
      </c>
      <c r="F10" s="3" t="n"/>
      <c r="G10" s="9">
        <f>C10+D10</f>
        <v/>
      </c>
      <c r="H10" s="3" t="n"/>
      <c r="I10" s="3" t="n"/>
      <c r="J10" s="3" t="inlineStr">
        <is>
          <t>Malullük / yaşlılık / ölüm</t>
        </is>
      </c>
      <c r="K10" s="3" t="n">
        <v>0</v>
      </c>
      <c r="L10" s="9">
        <f>$B$4*K10/100</f>
        <v/>
      </c>
    </row>
    <row r="11">
      <c r="A11" s="2" t="n">
        <v>3</v>
      </c>
      <c r="B11" s="2" t="inlineStr"/>
      <c r="C11" s="5" t="n">
        <v>0</v>
      </c>
      <c r="D11" s="5" t="n">
        <v>0</v>
      </c>
      <c r="E11" s="2" t="n">
        <v>0</v>
      </c>
      <c r="F11" s="2" t="n"/>
      <c r="G11" s="6">
        <f>C11+D11</f>
        <v/>
      </c>
      <c r="H11" s="2" t="n"/>
      <c r="I11" s="2" t="n"/>
      <c r="J11" s="2" t="inlineStr">
        <is>
          <t>Genel sağlık sigortası</t>
        </is>
      </c>
      <c r="K11" s="2" t="n">
        <v>0</v>
      </c>
      <c r="L11" s="6">
        <f>$B$4*K11/100</f>
        <v/>
      </c>
    </row>
    <row r="12">
      <c r="A12" s="3" t="n">
        <v>4</v>
      </c>
      <c r="B12" s="3" t="inlineStr"/>
      <c r="C12" s="8" t="n">
        <v>0</v>
      </c>
      <c r="D12" s="8" t="n">
        <v>0</v>
      </c>
      <c r="E12" s="3" t="n">
        <v>0</v>
      </c>
      <c r="F12" s="3" t="n"/>
      <c r="G12" s="9">
        <f>C12+D12</f>
        <v/>
      </c>
      <c r="H12" s="3" t="n"/>
      <c r="I12" s="3" t="n"/>
      <c r="J12" s="3" t="inlineStr">
        <is>
          <t>İşsizlik sigortası</t>
        </is>
      </c>
      <c r="K12" s="3" t="n">
        <v>0</v>
      </c>
      <c r="L12" s="9">
        <f>$B$4*K12/100</f>
        <v/>
      </c>
    </row>
    <row r="13">
      <c r="A13" s="2" t="n">
        <v>5</v>
      </c>
      <c r="B13" s="2" t="inlineStr"/>
      <c r="C13" s="5" t="n">
        <v>0</v>
      </c>
      <c r="D13" s="5" t="n">
        <v>0</v>
      </c>
      <c r="E13" s="2" t="n">
        <v>0</v>
      </c>
      <c r="F13" s="2" t="n"/>
      <c r="G13" s="6">
        <f>C13+D13</f>
        <v/>
      </c>
      <c r="H13" s="2" t="n"/>
      <c r="I13" s="2" t="n"/>
      <c r="J13" s="2" t="inlineStr">
        <is>
          <t>Sosyal güvenlik destek primi</t>
        </is>
      </c>
      <c r="K13" s="2" t="n">
        <v>30</v>
      </c>
      <c r="L13" s="6">
        <f>$B$4*K13/100</f>
        <v/>
      </c>
    </row>
    <row r="14">
      <c r="A14" s="3" t="n">
        <v>6</v>
      </c>
      <c r="B14" s="3" t="inlineStr"/>
      <c r="C14" s="8" t="n">
        <v>0</v>
      </c>
      <c r="D14" s="8" t="n">
        <v>0</v>
      </c>
      <c r="E14" s="3" t="n">
        <v>0</v>
      </c>
      <c r="F14" s="3" t="n"/>
      <c r="G14" s="9">
        <f>C14+D14</f>
        <v/>
      </c>
      <c r="H14" s="3" t="n"/>
      <c r="I14" s="3" t="n"/>
      <c r="J14" s="3" t="inlineStr">
        <is>
          <t>4857 / 6111 indirimi uygulansın (1/0)</t>
        </is>
      </c>
      <c r="K14" s="3" t="n">
        <v>0</v>
      </c>
      <c r="L14" s="3" t="n"/>
    </row>
    <row r="15">
      <c r="A15" s="2" t="n">
        <v>7</v>
      </c>
      <c r="B15" s="2" t="inlineStr"/>
      <c r="C15" s="5" t="n">
        <v>0</v>
      </c>
      <c r="D15" s="5" t="n">
        <v>0</v>
      </c>
      <c r="E15" s="2" t="n">
        <v>0</v>
      </c>
      <c r="F15" s="2" t="n"/>
      <c r="G15" s="6">
        <f>C15+D15</f>
        <v/>
      </c>
      <c r="H15" s="2" t="n"/>
      <c r="I15" s="2" t="n"/>
      <c r="J15" s="2" t="inlineStr">
        <is>
          <t>Ek grup dahil edilsin (1/0)</t>
        </is>
      </c>
      <c r="K15" s="2" t="n">
        <v>0</v>
      </c>
      <c r="L15" s="2" t="n"/>
    </row>
    <row r="16">
      <c r="A16" s="3" t="n">
        <v>8</v>
      </c>
      <c r="B16" s="3" t="inlineStr"/>
      <c r="C16" s="8" t="n">
        <v>0</v>
      </c>
      <c r="D16" s="8" t="n">
        <v>0</v>
      </c>
      <c r="E16" s="3" t="n">
        <v>0</v>
      </c>
      <c r="F16" s="3" t="n"/>
      <c r="G16" s="9">
        <f>C16+D16</f>
        <v/>
      </c>
      <c r="H16" s="3" t="n"/>
      <c r="I16" s="3" t="n"/>
      <c r="J16" s="3" t="n"/>
      <c r="K16" s="3" t="n"/>
      <c r="L16" s="3" t="n"/>
    </row>
    <row r="17">
      <c r="A17" s="2" t="n">
        <v>9</v>
      </c>
      <c r="B17" s="2" t="inlineStr"/>
      <c r="C17" s="5" t="n">
        <v>0</v>
      </c>
      <c r="D17" s="5" t="n">
        <v>0</v>
      </c>
      <c r="E17" s="2" t="n">
        <v>0</v>
      </c>
      <c r="F17" s="2" t="n"/>
      <c r="G17" s="6">
        <f>C17+D17</f>
        <v/>
      </c>
      <c r="H17" s="2" t="n"/>
      <c r="I17" s="2" t="n"/>
      <c r="J17" s="2" t="inlineStr">
        <is>
          <t>05510 indirim oranı (%)</t>
        </is>
      </c>
      <c r="K17" s="2" t="n">
        <v>0</v>
      </c>
      <c r="L17" s="6">
        <f>B4*K17/100</f>
        <v/>
      </c>
    </row>
    <row r="18">
      <c r="A18" s="3" t="n">
        <v>10</v>
      </c>
      <c r="B18" s="3" t="inlineStr"/>
      <c r="C18" s="8" t="n">
        <v>0</v>
      </c>
      <c r="D18" s="8" t="n">
        <v>0</v>
      </c>
      <c r="E18" s="3" t="n">
        <v>0</v>
      </c>
      <c r="F18" s="3" t="n"/>
      <c r="G18" s="9">
        <f>C18+D18</f>
        <v/>
      </c>
      <c r="H18" s="3" t="n"/>
      <c r="I18" s="3" t="n"/>
      <c r="J18" s="3" t="inlineStr">
        <is>
          <t>Teşvik oranı (%)</t>
        </is>
      </c>
      <c r="K18" s="3" t="n">
        <v>0</v>
      </c>
      <c r="L18" s="9">
        <f>B4*K18/100</f>
        <v/>
      </c>
    </row>
    <row r="19">
      <c r="A19" s="2" t="n">
        <v>11</v>
      </c>
      <c r="B19" s="2" t="inlineStr"/>
      <c r="C19" s="5" t="n">
        <v>0</v>
      </c>
      <c r="D19" s="5" t="n">
        <v>0</v>
      </c>
      <c r="E19" s="2" t="n">
        <v>0</v>
      </c>
      <c r="F19" s="2" t="n"/>
      <c r="G19" s="6">
        <f>C19+D19</f>
        <v/>
      </c>
      <c r="H19" s="2" t="n"/>
      <c r="I19" s="2" t="n"/>
      <c r="J19" s="2" t="n"/>
      <c r="K19" s="2" t="n"/>
      <c r="L19" s="2" t="n"/>
    </row>
    <row r="20">
      <c r="A20" s="3" t="n">
        <v>12</v>
      </c>
      <c r="B20" s="3" t="inlineStr"/>
      <c r="C20" s="8" t="n">
        <v>0</v>
      </c>
      <c r="D20" s="8" t="n">
        <v>0</v>
      </c>
      <c r="E20" s="3" t="n">
        <v>0</v>
      </c>
      <c r="F20" s="3" t="n"/>
      <c r="G20" s="9">
        <f>C20+D20</f>
        <v/>
      </c>
      <c r="H20" s="3" t="n"/>
      <c r="I20" s="3" t="n"/>
      <c r="J20" s="3" t="inlineStr">
        <is>
          <t>Toplam sigorta primi</t>
        </is>
      </c>
      <c r="K20" s="3" t="n"/>
      <c r="L20" s="9">
        <f>SUM(L9:L11,L13)</f>
        <v/>
      </c>
    </row>
    <row r="21">
      <c r="A21" s="2" t="n">
        <v>13</v>
      </c>
      <c r="B21" s="2" t="inlineStr"/>
      <c r="C21" s="5" t="n">
        <v>0</v>
      </c>
      <c r="D21" s="5" t="n">
        <v>0</v>
      </c>
      <c r="E21" s="2" t="n">
        <v>0</v>
      </c>
      <c r="F21" s="2" t="n"/>
      <c r="G21" s="6">
        <f>C21+D21</f>
        <v/>
      </c>
      <c r="H21" s="2" t="n"/>
      <c r="I21" s="2" t="n"/>
      <c r="J21" s="2" t="inlineStr">
        <is>
          <t>Net sigorta primi</t>
        </is>
      </c>
      <c r="K21" s="2" t="n"/>
      <c r="L21" s="6">
        <f>L20-L17-L18*K14</f>
        <v/>
      </c>
    </row>
    <row r="22">
      <c r="A22" s="3" t="n">
        <v>14</v>
      </c>
      <c r="B22" s="3" t="inlineStr"/>
      <c r="C22" s="8" t="n">
        <v>0</v>
      </c>
      <c r="D22" s="8" t="n">
        <v>0</v>
      </c>
      <c r="E22" s="3" t="n">
        <v>0</v>
      </c>
      <c r="F22" s="3" t="n"/>
      <c r="G22" s="9">
        <f>C22+D22</f>
        <v/>
      </c>
      <c r="H22" s="3" t="n"/>
      <c r="I22" s="3" t="n"/>
      <c r="J22" s="3" t="inlineStr">
        <is>
          <t>İşsizlik sigortası</t>
        </is>
      </c>
      <c r="K22" s="3" t="n"/>
      <c r="L22" s="9">
        <f>L12</f>
        <v/>
      </c>
    </row>
    <row r="23">
      <c r="A23" s="2" t="n">
        <v>15</v>
      </c>
      <c r="B23" s="2" t="inlineStr"/>
      <c r="C23" s="5" t="n">
        <v>0</v>
      </c>
      <c r="D23" s="5" t="n">
        <v>0</v>
      </c>
      <c r="E23" s="2" t="n">
        <v>0</v>
      </c>
      <c r="F23" s="2" t="n"/>
      <c r="G23" s="6">
        <f>C23+D23</f>
        <v/>
      </c>
      <c r="H23" s="2" t="n"/>
      <c r="I23" s="2" t="n"/>
      <c r="J23" s="2" t="n"/>
      <c r="K23" s="2" t="n"/>
      <c r="L23" s="2" t="n"/>
    </row>
    <row r="24">
      <c r="A24" s="3" t="n">
        <v>16</v>
      </c>
      <c r="B24" s="3" t="inlineStr"/>
      <c r="C24" s="8" t="n">
        <v>0</v>
      </c>
      <c r="D24" s="8" t="n">
        <v>0</v>
      </c>
      <c r="E24" s="3" t="n">
        <v>0</v>
      </c>
      <c r="F24" s="3" t="n"/>
      <c r="G24" s="9">
        <f>C24+D24</f>
        <v/>
      </c>
      <c r="H24" s="3" t="n"/>
      <c r="I24" s="3" t="n"/>
      <c r="J24" s="3" t="inlineStr">
        <is>
          <t>ÖDENECEK TUTAR</t>
        </is>
      </c>
      <c r="K24" s="3" t="n"/>
      <c r="L24" s="9">
        <f>L21+L22</f>
        <v/>
      </c>
    </row>
    <row r="25">
      <c r="A25" s="2" t="n">
        <v>17</v>
      </c>
      <c r="B25" s="2" t="inlineStr"/>
      <c r="C25" s="5" t="n">
        <v>0</v>
      </c>
      <c r="D25" s="5" t="n">
        <v>0</v>
      </c>
      <c r="E25" s="2" t="n">
        <v>0</v>
      </c>
      <c r="F25" s="2" t="n"/>
      <c r="G25" s="6">
        <f>C25+D25</f>
        <v/>
      </c>
      <c r="H25" s="2" t="n"/>
      <c r="I25" s="2" t="n"/>
      <c r="J25" s="2" t="n"/>
      <c r="K25" s="2" t="n"/>
      <c r="L25" s="2" t="n"/>
    </row>
    <row r="26">
      <c r="A26" s="3" t="n">
        <v>18</v>
      </c>
      <c r="B26" s="3" t="inlineStr"/>
      <c r="C26" s="8" t="n">
        <v>0</v>
      </c>
      <c r="D26" s="8" t="n">
        <v>0</v>
      </c>
      <c r="E26" s="3" t="n">
        <v>0</v>
      </c>
      <c r="F26" s="3" t="n"/>
      <c r="G26" s="9">
        <f>C26+D26</f>
        <v/>
      </c>
      <c r="H26" s="3" t="n"/>
      <c r="I26" s="3" t="n"/>
      <c r="J26" s="3" t="inlineStr">
        <is>
          <t>Toplam prim günü</t>
        </is>
      </c>
      <c r="K26" s="3" t="n"/>
      <c r="L26" s="11">
        <f>SUM(E9:E58)</f>
        <v/>
      </c>
    </row>
    <row r="27">
      <c r="A27" s="2" t="n">
        <v>19</v>
      </c>
      <c r="B27" s="2" t="inlineStr"/>
      <c r="C27" s="5" t="n">
        <v>0</v>
      </c>
      <c r="D27" s="5" t="n">
        <v>0</v>
      </c>
      <c r="E27" s="2" t="n">
        <v>0</v>
      </c>
      <c r="F27" s="2" t="n"/>
      <c r="G27" s="6">
        <f>C27+D27</f>
        <v/>
      </c>
      <c r="H27" s="2" t="n"/>
      <c r="I27" s="2" t="n"/>
      <c r="J27" s="2" t="n"/>
      <c r="K27" s="2" t="n"/>
      <c r="L27" s="2" t="n"/>
    </row>
    <row r="28">
      <c r="A28" s="3" t="n">
        <v>20</v>
      </c>
      <c r="B28" s="3" t="inlineStr"/>
      <c r="C28" s="8" t="n">
        <v>0</v>
      </c>
      <c r="D28" s="8" t="n">
        <v>0</v>
      </c>
      <c r="E28" s="3" t="n">
        <v>0</v>
      </c>
      <c r="F28" s="3" t="n"/>
      <c r="G28" s="9">
        <f>C28+D28</f>
        <v/>
      </c>
      <c r="H28" s="3" t="n"/>
      <c r="I28" s="3" t="n"/>
      <c r="J28" s="3" t="n"/>
      <c r="K28" s="3" t="n"/>
      <c r="L28" s="3" t="n"/>
    </row>
    <row r="29">
      <c r="A29" s="2" t="n">
        <v>21</v>
      </c>
      <c r="B29" s="2" t="inlineStr"/>
      <c r="C29" s="5" t="n">
        <v>0</v>
      </c>
      <c r="D29" s="5" t="n">
        <v>0</v>
      </c>
      <c r="E29" s="2" t="n">
        <v>0</v>
      </c>
      <c r="F29" s="2" t="n"/>
      <c r="G29" s="6">
        <f>C29+D29</f>
        <v/>
      </c>
      <c r="H29" s="2" t="n"/>
      <c r="I29" s="2" t="n"/>
      <c r="J29" s="2" t="n"/>
      <c r="K29" s="2" t="n"/>
      <c r="L29" s="2" t="n"/>
    </row>
    <row r="30">
      <c r="A30" s="3" t="n">
        <v>22</v>
      </c>
      <c r="B30" s="3" t="inlineStr"/>
      <c r="C30" s="8" t="n">
        <v>0</v>
      </c>
      <c r="D30" s="8" t="n">
        <v>0</v>
      </c>
      <c r="E30" s="3" t="n">
        <v>0</v>
      </c>
      <c r="F30" s="3" t="n"/>
      <c r="G30" s="9">
        <f>C30+D30</f>
        <v/>
      </c>
      <c r="H30" s="3" t="n"/>
      <c r="I30" s="3" t="n"/>
      <c r="J30" s="3" t="n"/>
      <c r="K30" s="3" t="n"/>
      <c r="L30" s="3" t="n"/>
    </row>
    <row r="31">
      <c r="A31" s="2" t="n">
        <v>23</v>
      </c>
      <c r="B31" s="2" t="inlineStr"/>
      <c r="C31" s="5" t="n">
        <v>0</v>
      </c>
      <c r="D31" s="5" t="n">
        <v>0</v>
      </c>
      <c r="E31" s="2" t="n">
        <v>0</v>
      </c>
      <c r="F31" s="2" t="n"/>
      <c r="G31" s="6">
        <f>C31+D31</f>
        <v/>
      </c>
      <c r="H31" s="2" t="n"/>
      <c r="I31" s="2" t="n"/>
      <c r="J31" s="2" t="n"/>
      <c r="K31" s="2" t="n"/>
      <c r="L31" s="2" t="n"/>
    </row>
    <row r="32">
      <c r="A32" s="3" t="n">
        <v>24</v>
      </c>
      <c r="B32" s="3" t="inlineStr"/>
      <c r="C32" s="8" t="n">
        <v>0</v>
      </c>
      <c r="D32" s="8" t="n">
        <v>0</v>
      </c>
      <c r="E32" s="3" t="n">
        <v>0</v>
      </c>
      <c r="F32" s="3" t="n"/>
      <c r="G32" s="9">
        <f>C32+D32</f>
        <v/>
      </c>
      <c r="H32" s="3" t="n"/>
      <c r="I32" s="3" t="n"/>
      <c r="J32" s="3" t="n"/>
      <c r="K32" s="3" t="n"/>
      <c r="L32" s="3" t="n"/>
    </row>
    <row r="33">
      <c r="A33" s="2" t="n">
        <v>25</v>
      </c>
      <c r="B33" s="2" t="inlineStr"/>
      <c r="C33" s="5" t="n">
        <v>0</v>
      </c>
      <c r="D33" s="5" t="n">
        <v>0</v>
      </c>
      <c r="E33" s="2" t="n">
        <v>0</v>
      </c>
      <c r="F33" s="2" t="n"/>
      <c r="G33" s="6">
        <f>C33+D33</f>
        <v/>
      </c>
      <c r="H33" s="2" t="n"/>
      <c r="I33" s="2" t="n"/>
      <c r="J33" s="2" t="n"/>
      <c r="K33" s="2" t="n"/>
      <c r="L33" s="2" t="n"/>
    </row>
    <row r="34">
      <c r="A34" s="3" t="n">
        <v>26</v>
      </c>
      <c r="B34" s="3" t="inlineStr"/>
      <c r="C34" s="8" t="n">
        <v>0</v>
      </c>
      <c r="D34" s="8" t="n">
        <v>0</v>
      </c>
      <c r="E34" s="3" t="n">
        <v>0</v>
      </c>
      <c r="F34" s="3" t="n"/>
      <c r="G34" s="9">
        <f>C34+D34</f>
        <v/>
      </c>
      <c r="H34" s="3" t="n"/>
      <c r="I34" s="3" t="n"/>
      <c r="J34" s="3" t="n"/>
      <c r="K34" s="3" t="n"/>
      <c r="L34" s="3" t="n"/>
    </row>
    <row r="35">
      <c r="A35" s="2" t="n">
        <v>27</v>
      </c>
      <c r="B35" s="2" t="inlineStr"/>
      <c r="C35" s="5" t="n">
        <v>0</v>
      </c>
      <c r="D35" s="5" t="n">
        <v>0</v>
      </c>
      <c r="E35" s="2" t="n">
        <v>0</v>
      </c>
      <c r="F35" s="2" t="n"/>
      <c r="G35" s="6">
        <f>C35+D35</f>
        <v/>
      </c>
      <c r="H35" s="2" t="n"/>
      <c r="I35" s="2" t="n"/>
      <c r="J35" s="2" t="n"/>
      <c r="K35" s="2" t="n"/>
      <c r="L35" s="2" t="n"/>
    </row>
    <row r="36">
      <c r="A36" s="3" t="n">
        <v>28</v>
      </c>
      <c r="B36" s="3" t="inlineStr"/>
      <c r="C36" s="8" t="n">
        <v>0</v>
      </c>
      <c r="D36" s="8" t="n">
        <v>0</v>
      </c>
      <c r="E36" s="3" t="n">
        <v>0</v>
      </c>
      <c r="F36" s="3" t="n"/>
      <c r="G36" s="9">
        <f>C36+D36</f>
        <v/>
      </c>
      <c r="H36" s="3" t="n"/>
      <c r="I36" s="3" t="n"/>
      <c r="J36" s="3" t="n"/>
      <c r="K36" s="3" t="n"/>
      <c r="L36" s="3" t="n"/>
    </row>
    <row r="37">
      <c r="A37" s="2" t="n">
        <v>29</v>
      </c>
      <c r="B37" s="2" t="inlineStr"/>
      <c r="C37" s="5" t="n">
        <v>0</v>
      </c>
      <c r="D37" s="5" t="n">
        <v>0</v>
      </c>
      <c r="E37" s="2" t="n">
        <v>0</v>
      </c>
      <c r="F37" s="2" t="n"/>
      <c r="G37" s="6">
        <f>C37+D37</f>
        <v/>
      </c>
      <c r="H37" s="2" t="n"/>
      <c r="I37" s="2" t="n"/>
      <c r="J37" s="2" t="n"/>
      <c r="K37" s="2" t="n"/>
      <c r="L37" s="2" t="n"/>
    </row>
    <row r="38">
      <c r="A38" s="3" t="n">
        <v>30</v>
      </c>
      <c r="B38" s="3" t="inlineStr"/>
      <c r="C38" s="8" t="n">
        <v>0</v>
      </c>
      <c r="D38" s="8" t="n">
        <v>0</v>
      </c>
      <c r="E38" s="3" t="n">
        <v>0</v>
      </c>
      <c r="F38" s="3" t="n"/>
      <c r="G38" s="9">
        <f>C38+D38</f>
        <v/>
      </c>
      <c r="H38" s="3" t="n"/>
      <c r="I38" s="3" t="n"/>
      <c r="J38" s="3" t="n"/>
      <c r="K38" s="3" t="n"/>
      <c r="L38" s="3" t="n"/>
    </row>
    <row r="39">
      <c r="A39" s="2" t="n">
        <v>31</v>
      </c>
      <c r="B39" s="2" t="inlineStr"/>
      <c r="C39" s="5" t="n">
        <v>0</v>
      </c>
      <c r="D39" s="5" t="n">
        <v>0</v>
      </c>
      <c r="E39" s="2" t="n">
        <v>0</v>
      </c>
      <c r="F39" s="2" t="n"/>
      <c r="G39" s="6">
        <f>C39+D39</f>
        <v/>
      </c>
      <c r="H39" s="2" t="n"/>
      <c r="I39" s="2" t="n"/>
      <c r="J39" s="2" t="n"/>
      <c r="K39" s="2" t="n"/>
      <c r="L39" s="2" t="n"/>
    </row>
    <row r="40">
      <c r="A40" s="3" t="n">
        <v>32</v>
      </c>
      <c r="B40" s="3" t="inlineStr"/>
      <c r="C40" s="8" t="n">
        <v>0</v>
      </c>
      <c r="D40" s="8" t="n">
        <v>0</v>
      </c>
      <c r="E40" s="3" t="n">
        <v>0</v>
      </c>
      <c r="F40" s="3" t="n"/>
      <c r="G40" s="9">
        <f>C40+D40</f>
        <v/>
      </c>
      <c r="H40" s="3" t="n"/>
      <c r="I40" s="3" t="n"/>
      <c r="J40" s="3" t="n"/>
      <c r="K40" s="3" t="n"/>
      <c r="L40" s="3" t="n"/>
    </row>
    <row r="41">
      <c r="A41" s="2" t="n">
        <v>33</v>
      </c>
      <c r="B41" s="2" t="inlineStr"/>
      <c r="C41" s="5" t="n">
        <v>0</v>
      </c>
      <c r="D41" s="5" t="n">
        <v>0</v>
      </c>
      <c r="E41" s="2" t="n">
        <v>0</v>
      </c>
      <c r="F41" s="2" t="n"/>
      <c r="G41" s="6">
        <f>C41+D41</f>
        <v/>
      </c>
      <c r="H41" s="2" t="n"/>
      <c r="I41" s="2" t="n"/>
      <c r="J41" s="2" t="n"/>
      <c r="K41" s="2" t="n"/>
      <c r="L41" s="2" t="n"/>
    </row>
    <row r="42">
      <c r="A42" s="3" t="n">
        <v>34</v>
      </c>
      <c r="B42" s="3" t="inlineStr"/>
      <c r="C42" s="8" t="n">
        <v>0</v>
      </c>
      <c r="D42" s="8" t="n">
        <v>0</v>
      </c>
      <c r="E42" s="3" t="n">
        <v>0</v>
      </c>
      <c r="F42" s="3" t="n"/>
      <c r="G42" s="9">
        <f>C42+D42</f>
        <v/>
      </c>
      <c r="H42" s="3" t="n"/>
      <c r="I42" s="3" t="n"/>
      <c r="J42" s="3" t="n"/>
      <c r="K42" s="3" t="n"/>
      <c r="L42" s="3" t="n"/>
    </row>
    <row r="43">
      <c r="A43" s="2" t="n">
        <v>35</v>
      </c>
      <c r="B43" s="2" t="inlineStr"/>
      <c r="C43" s="5" t="n">
        <v>0</v>
      </c>
      <c r="D43" s="5" t="n">
        <v>0</v>
      </c>
      <c r="E43" s="2" t="n">
        <v>0</v>
      </c>
      <c r="F43" s="2" t="n"/>
      <c r="G43" s="6">
        <f>C43+D43</f>
        <v/>
      </c>
      <c r="H43" s="2" t="n"/>
      <c r="I43" s="2" t="n"/>
      <c r="J43" s="2" t="n"/>
      <c r="K43" s="2" t="n"/>
      <c r="L43" s="2" t="n"/>
    </row>
    <row r="44">
      <c r="A44" s="3" t="n">
        <v>36</v>
      </c>
      <c r="B44" s="3" t="inlineStr"/>
      <c r="C44" s="8" t="n">
        <v>0</v>
      </c>
      <c r="D44" s="8" t="n">
        <v>0</v>
      </c>
      <c r="E44" s="3" t="n">
        <v>0</v>
      </c>
      <c r="F44" s="3" t="n"/>
      <c r="G44" s="9">
        <f>C44+D44</f>
        <v/>
      </c>
      <c r="H44" s="3" t="n"/>
      <c r="I44" s="3" t="n"/>
      <c r="J44" s="3" t="n"/>
      <c r="K44" s="3" t="n"/>
      <c r="L44" s="3" t="n"/>
    </row>
    <row r="45">
      <c r="A45" s="2" t="n">
        <v>37</v>
      </c>
      <c r="B45" s="2" t="inlineStr"/>
      <c r="C45" s="5" t="n">
        <v>0</v>
      </c>
      <c r="D45" s="5" t="n">
        <v>0</v>
      </c>
      <c r="E45" s="2" t="n">
        <v>0</v>
      </c>
      <c r="F45" s="2" t="n"/>
      <c r="G45" s="6">
        <f>C45+D45</f>
        <v/>
      </c>
      <c r="H45" s="2" t="n"/>
      <c r="I45" s="2" t="n"/>
      <c r="J45" s="2" t="n"/>
      <c r="K45" s="2" t="n"/>
      <c r="L45" s="2" t="n"/>
    </row>
    <row r="46">
      <c r="A46" s="3" t="n">
        <v>38</v>
      </c>
      <c r="B46" s="3" t="inlineStr"/>
      <c r="C46" s="8" t="n">
        <v>0</v>
      </c>
      <c r="D46" s="8" t="n">
        <v>0</v>
      </c>
      <c r="E46" s="3" t="n">
        <v>0</v>
      </c>
      <c r="F46" s="3" t="n"/>
      <c r="G46" s="9">
        <f>C46+D46</f>
        <v/>
      </c>
      <c r="H46" s="3" t="n"/>
      <c r="I46" s="3" t="n"/>
      <c r="J46" s="3" t="n"/>
      <c r="K46" s="3" t="n"/>
      <c r="L46" s="3" t="n"/>
    </row>
    <row r="47">
      <c r="A47" s="2" t="n">
        <v>39</v>
      </c>
      <c r="B47" s="2" t="inlineStr"/>
      <c r="C47" s="5" t="n">
        <v>0</v>
      </c>
      <c r="D47" s="5" t="n">
        <v>0</v>
      </c>
      <c r="E47" s="2" t="n">
        <v>0</v>
      </c>
      <c r="F47" s="2" t="n"/>
      <c r="G47" s="6">
        <f>C47+D47</f>
        <v/>
      </c>
      <c r="H47" s="2" t="n"/>
      <c r="I47" s="2" t="n"/>
      <c r="J47" s="2" t="n"/>
      <c r="K47" s="2" t="n"/>
      <c r="L47" s="2" t="n"/>
    </row>
    <row r="48">
      <c r="A48" s="3" t="n">
        <v>40</v>
      </c>
      <c r="B48" s="3" t="inlineStr"/>
      <c r="C48" s="8" t="n">
        <v>0</v>
      </c>
      <c r="D48" s="8" t="n">
        <v>0</v>
      </c>
      <c r="E48" s="3" t="n">
        <v>0</v>
      </c>
      <c r="F48" s="3" t="n"/>
      <c r="G48" s="9">
        <f>C48+D48</f>
        <v/>
      </c>
      <c r="H48" s="3" t="n"/>
      <c r="I48" s="3" t="n"/>
      <c r="J48" s="3" t="n"/>
      <c r="K48" s="3" t="n"/>
      <c r="L48" s="3" t="n"/>
    </row>
    <row r="49">
      <c r="A49" s="2" t="n">
        <v>41</v>
      </c>
      <c r="B49" s="2" t="inlineStr"/>
      <c r="C49" s="5" t="n">
        <v>0</v>
      </c>
      <c r="D49" s="5" t="n">
        <v>0</v>
      </c>
      <c r="E49" s="2" t="n">
        <v>0</v>
      </c>
      <c r="F49" s="2" t="n"/>
      <c r="G49" s="6">
        <f>C49+D49</f>
        <v/>
      </c>
      <c r="H49" s="2" t="n"/>
      <c r="I49" s="2" t="n"/>
      <c r="J49" s="2" t="n"/>
      <c r="K49" s="2" t="n"/>
      <c r="L49" s="2" t="n"/>
    </row>
    <row r="50">
      <c r="A50" s="3" t="n">
        <v>42</v>
      </c>
      <c r="B50" s="3" t="inlineStr"/>
      <c r="C50" s="8" t="n">
        <v>0</v>
      </c>
      <c r="D50" s="8" t="n">
        <v>0</v>
      </c>
      <c r="E50" s="3" t="n">
        <v>0</v>
      </c>
      <c r="F50" s="3" t="n"/>
      <c r="G50" s="9">
        <f>C50+D50</f>
        <v/>
      </c>
      <c r="H50" s="3" t="n"/>
      <c r="I50" s="3" t="n"/>
      <c r="J50" s="3" t="n"/>
      <c r="K50" s="3" t="n"/>
      <c r="L50" s="3" t="n"/>
    </row>
    <row r="51">
      <c r="A51" s="2" t="n">
        <v>43</v>
      </c>
      <c r="B51" s="2" t="inlineStr"/>
      <c r="C51" s="5" t="n">
        <v>0</v>
      </c>
      <c r="D51" s="5" t="n">
        <v>0</v>
      </c>
      <c r="E51" s="2" t="n">
        <v>0</v>
      </c>
      <c r="F51" s="2" t="n"/>
      <c r="G51" s="6">
        <f>C51+D51</f>
        <v/>
      </c>
      <c r="H51" s="2" t="n"/>
      <c r="I51" s="2" t="n"/>
      <c r="J51" s="2" t="n"/>
      <c r="K51" s="2" t="n"/>
      <c r="L51" s="2" t="n"/>
    </row>
    <row r="52">
      <c r="A52" s="3" t="n">
        <v>44</v>
      </c>
      <c r="B52" s="3" t="inlineStr"/>
      <c r="C52" s="8" t="n">
        <v>0</v>
      </c>
      <c r="D52" s="8" t="n">
        <v>0</v>
      </c>
      <c r="E52" s="3" t="n">
        <v>0</v>
      </c>
      <c r="F52" s="3" t="n"/>
      <c r="G52" s="9">
        <f>C52+D52</f>
        <v/>
      </c>
      <c r="H52" s="3" t="n"/>
      <c r="I52" s="3" t="n"/>
      <c r="J52" s="3" t="n"/>
      <c r="K52" s="3" t="n"/>
      <c r="L52" s="3" t="n"/>
    </row>
    <row r="53">
      <c r="A53" s="2" t="n">
        <v>45</v>
      </c>
      <c r="B53" s="2" t="inlineStr"/>
      <c r="C53" s="5" t="n">
        <v>0</v>
      </c>
      <c r="D53" s="5" t="n">
        <v>0</v>
      </c>
      <c r="E53" s="2" t="n">
        <v>0</v>
      </c>
      <c r="F53" s="2" t="n"/>
      <c r="G53" s="6">
        <f>C53+D53</f>
        <v/>
      </c>
      <c r="H53" s="2" t="n"/>
      <c r="I53" s="2" t="n"/>
      <c r="J53" s="2" t="n"/>
      <c r="K53" s="2" t="n"/>
      <c r="L53" s="2" t="n"/>
    </row>
    <row r="54">
      <c r="A54" s="3" t="n">
        <v>46</v>
      </c>
      <c r="B54" s="3" t="inlineStr"/>
      <c r="C54" s="8" t="n">
        <v>0</v>
      </c>
      <c r="D54" s="8" t="n">
        <v>0</v>
      </c>
      <c r="E54" s="3" t="n">
        <v>0</v>
      </c>
      <c r="F54" s="3" t="n"/>
      <c r="G54" s="9">
        <f>C54+D54</f>
        <v/>
      </c>
      <c r="H54" s="3" t="n"/>
      <c r="I54" s="3" t="n"/>
      <c r="J54" s="3" t="n"/>
      <c r="K54" s="3" t="n"/>
      <c r="L54" s="3" t="n"/>
    </row>
    <row r="55">
      <c r="A55" s="2" t="n">
        <v>47</v>
      </c>
      <c r="B55" s="2" t="inlineStr"/>
      <c r="C55" s="5" t="n">
        <v>0</v>
      </c>
      <c r="D55" s="5" t="n">
        <v>0</v>
      </c>
      <c r="E55" s="2" t="n">
        <v>0</v>
      </c>
      <c r="F55" s="2" t="n"/>
      <c r="G55" s="6">
        <f>C55+D55</f>
        <v/>
      </c>
      <c r="H55" s="2" t="n"/>
      <c r="I55" s="2" t="n"/>
      <c r="J55" s="2" t="n"/>
      <c r="K55" s="2" t="n"/>
      <c r="L55" s="2" t="n"/>
    </row>
    <row r="56">
      <c r="A56" s="3" t="n">
        <v>48</v>
      </c>
      <c r="B56" s="3" t="inlineStr"/>
      <c r="C56" s="8" t="n">
        <v>0</v>
      </c>
      <c r="D56" s="8" t="n">
        <v>0</v>
      </c>
      <c r="E56" s="3" t="n">
        <v>0</v>
      </c>
      <c r="F56" s="3" t="n"/>
      <c r="G56" s="9">
        <f>C56+D56</f>
        <v/>
      </c>
      <c r="H56" s="3" t="n"/>
      <c r="I56" s="3" t="n"/>
      <c r="J56" s="3" t="n"/>
      <c r="K56" s="3" t="n"/>
      <c r="L56" s="3" t="n"/>
    </row>
    <row r="57">
      <c r="A57" s="2" t="n">
        <v>49</v>
      </c>
      <c r="B57" s="2" t="inlineStr"/>
      <c r="C57" s="5" t="n">
        <v>0</v>
      </c>
      <c r="D57" s="5" t="n">
        <v>0</v>
      </c>
      <c r="E57" s="2" t="n">
        <v>0</v>
      </c>
      <c r="F57" s="2" t="n"/>
      <c r="G57" s="6">
        <f>C57+D57</f>
        <v/>
      </c>
      <c r="H57" s="2" t="n"/>
      <c r="I57" s="2" t="n"/>
      <c r="J57" s="2" t="n"/>
      <c r="K57" s="2" t="n"/>
      <c r="L57" s="2" t="n"/>
    </row>
    <row r="58">
      <c r="A58" s="3" t="n">
        <v>50</v>
      </c>
      <c r="B58" s="3" t="inlineStr"/>
      <c r="C58" s="8" t="n">
        <v>0</v>
      </c>
      <c r="D58" s="8" t="n">
        <v>0</v>
      </c>
      <c r="E58" s="3" t="n">
        <v>0</v>
      </c>
      <c r="F58" s="3" t="n"/>
      <c r="G58" s="9">
        <f>C58+D58</f>
        <v/>
      </c>
      <c r="H58" s="3" t="n"/>
      <c r="I58" s="3" t="n"/>
      <c r="J58" s="3" t="n"/>
      <c r="K58" s="3" t="n"/>
      <c r="L58" s="3" t="n"/>
    </row>
    <row r="59">
      <c r="A59" s="2" t="n"/>
      <c r="B59" s="2" t="inlineStr">
        <is>
          <t>TOPLAM</t>
        </is>
      </c>
      <c r="C59" s="10">
        <f>SUM(C9:C58)</f>
        <v/>
      </c>
      <c r="D59" s="10">
        <f>SUM(D9:D58)</f>
        <v/>
      </c>
      <c r="E59" s="10">
        <f>SUM(E9:E58)</f>
        <v/>
      </c>
      <c r="F59" s="2" t="n"/>
      <c r="G59" s="10">
        <f>SUM(G9:G58)</f>
        <v/>
      </c>
      <c r="H59" s="2" t="n"/>
      <c r="I59" s="2" t="n"/>
      <c r="J59" s="2" t="n"/>
      <c r="K59" s="2" t="n"/>
      <c r="L59" s="2" t="n"/>
    </row>
  </sheetData>
  <autoFilter ref="A8:G58"/>
  <mergeCells count="1">
    <mergeCell ref="A1:H2"/>
  </mergeCells>
  <dataValidations count="5">
    <dataValidation sqref="C9:D58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  <dataValidation sqref="E9:E58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K9:K13 K17:K18" showDropDown="0" showInputMessage="0" showErrorMessage="1" allowBlank="0" errorTitle="Geçersiz giriş" error="Sıfır veya daha büyük, geçerli bir değer girin." type="decimal" errorStyle="stop" operator="between">
      <formula1>0</formula1>
      <formula2>100</formula2>
    </dataValidation>
    <dataValidation sqref="K14:K15" showDropDown="0" showInputMessage="0" showErrorMessage="1" allowBlank="0" errorTitle="Geçersiz giriş" error="Sıfır veya daha büyük, geçerli bir değer girin." type="whole" errorStyle="stop" operator="between">
      <formula1>0</formula1>
      <formula2>1</formula2>
    </dataValidation>
    <dataValidation sqref="B4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L6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20" customWidth="1" min="4" max="4"/>
    <col width="20" customWidth="1" min="5" max="5"/>
    <col width="10" customWidth="1" min="6" max="6"/>
    <col width="22" customWidth="1" min="7" max="7"/>
    <col width="22" customWidth="1" min="8" max="8"/>
    <col width="4" customWidth="1" min="9" max="9"/>
    <col width="31" customWidth="1" min="10" max="10"/>
    <col width="15" customWidth="1" min="11" max="11"/>
    <col width="23" customWidth="1" min="12" max="12"/>
  </cols>
  <sheetData>
    <row r="1" ht="25" customHeight="1">
      <c r="A1" s="1" t="inlineStr">
        <is>
          <t>TAHAKKUK | Engelli Çalışan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Prime esas kazanç</t>
        </is>
      </c>
      <c r="B4" s="9">
        <f>SUM(C9:D58)+SUM(C63:D67)*K15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Çalışan kazançları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30" customHeight="1">
      <c r="A8" s="3" t="inlineStr">
        <is>
          <t>Sıra</t>
        </is>
      </c>
      <c r="B8" s="3" t="inlineStr">
        <is>
          <t>Çalışan adı</t>
        </is>
      </c>
      <c r="C8" s="3" t="inlineStr">
        <is>
          <t>Ücret</t>
        </is>
      </c>
      <c r="D8" s="3" t="inlineStr">
        <is>
          <t>İkramiye</t>
        </is>
      </c>
      <c r="E8" s="3" t="inlineStr">
        <is>
          <t>Gün</t>
        </is>
      </c>
      <c r="F8" s="3" t="inlineStr"/>
      <c r="G8" s="3" t="inlineStr">
        <is>
          <t>Kazanç</t>
        </is>
      </c>
      <c r="H8" s="3" t="n"/>
      <c r="I8" s="3" t="n"/>
      <c r="J8" s="3" t="n"/>
      <c r="K8" s="3" t="n"/>
      <c r="L8" s="3" t="n"/>
    </row>
    <row r="9">
      <c r="A9" s="2" t="n">
        <v>1</v>
      </c>
      <c r="B9" s="2" t="inlineStr"/>
      <c r="C9" s="5" t="n">
        <v>47238</v>
      </c>
      <c r="D9" s="5" t="n">
        <v>7348.13</v>
      </c>
      <c r="E9" s="2" t="n">
        <v>30</v>
      </c>
      <c r="F9" s="2" t="n"/>
      <c r="G9" s="6">
        <f>C9+D9</f>
        <v/>
      </c>
      <c r="H9" s="2" t="n"/>
      <c r="I9" s="2" t="n"/>
      <c r="J9" s="2" t="inlineStr">
        <is>
          <t>Kısa vadeli sigorta</t>
        </is>
      </c>
      <c r="K9" s="2" t="n">
        <v>2.25</v>
      </c>
      <c r="L9" s="6">
        <f>$B$4*K9/100</f>
        <v/>
      </c>
    </row>
    <row r="10">
      <c r="A10" s="3" t="n">
        <v>2</v>
      </c>
      <c r="B10" s="3" t="inlineStr"/>
      <c r="C10" s="8" t="n">
        <v>54301</v>
      </c>
      <c r="D10" s="8" t="n">
        <v>5792.11</v>
      </c>
      <c r="E10" s="3" t="n">
        <v>30</v>
      </c>
      <c r="F10" s="3" t="n"/>
      <c r="G10" s="9">
        <f>C10+D10</f>
        <v/>
      </c>
      <c r="H10" s="3" t="n"/>
      <c r="I10" s="3" t="n"/>
      <c r="J10" s="3" t="inlineStr">
        <is>
          <t>Malullük / yaşlılık / ölüm</t>
        </is>
      </c>
      <c r="K10" s="3" t="n">
        <v>21</v>
      </c>
      <c r="L10" s="9">
        <f>$B$4*K10/100</f>
        <v/>
      </c>
    </row>
    <row r="11">
      <c r="A11" s="2" t="n">
        <v>3</v>
      </c>
      <c r="B11" s="2" t="inlineStr"/>
      <c r="C11" s="5" t="n">
        <v>54301</v>
      </c>
      <c r="D11" s="5" t="n">
        <v>7964.15</v>
      </c>
      <c r="E11" s="2" t="n">
        <v>30</v>
      </c>
      <c r="F11" s="2" t="n"/>
      <c r="G11" s="6">
        <f>C11+D11</f>
        <v/>
      </c>
      <c r="H11" s="2" t="n"/>
      <c r="I11" s="2" t="n"/>
      <c r="J11" s="2" t="inlineStr">
        <is>
          <t>Genel sağlık sigortası</t>
        </is>
      </c>
      <c r="K11" s="2" t="n">
        <v>12.5</v>
      </c>
      <c r="L11" s="6">
        <f>$B$4*K11/100</f>
        <v/>
      </c>
    </row>
    <row r="12">
      <c r="A12" s="3" t="n">
        <v>4</v>
      </c>
      <c r="B12" s="3" t="inlineStr"/>
      <c r="C12" s="8" t="n">
        <v>47238</v>
      </c>
      <c r="D12" s="8" t="n">
        <v>3988.99</v>
      </c>
      <c r="E12" s="3" t="n">
        <v>30</v>
      </c>
      <c r="F12" s="3" t="n"/>
      <c r="G12" s="9">
        <f>C12+D12</f>
        <v/>
      </c>
      <c r="H12" s="3" t="n"/>
      <c r="I12" s="3" t="n"/>
      <c r="J12" s="3" t="inlineStr">
        <is>
          <t>İşsizlik sigortası</t>
        </is>
      </c>
      <c r="K12" s="3" t="n">
        <v>3</v>
      </c>
      <c r="L12" s="9">
        <f>$B$4*K12/100</f>
        <v/>
      </c>
    </row>
    <row r="13">
      <c r="A13" s="2" t="n">
        <v>5</v>
      </c>
      <c r="B13" s="2" t="inlineStr"/>
      <c r="C13" s="5" t="n">
        <v>47238</v>
      </c>
      <c r="D13" s="5" t="n">
        <v>7558.08</v>
      </c>
      <c r="E13" s="2" t="n">
        <v>30</v>
      </c>
      <c r="F13" s="2" t="n"/>
      <c r="G13" s="6">
        <f>C13+D13</f>
        <v/>
      </c>
      <c r="H13" s="2" t="n"/>
      <c r="I13" s="2" t="n"/>
      <c r="J13" s="2" t="inlineStr">
        <is>
          <t>Sosyal güvenlik destek primi</t>
        </is>
      </c>
      <c r="K13" s="2" t="n">
        <v>0</v>
      </c>
      <c r="L13" s="6">
        <f>$B$4*K13/100</f>
        <v/>
      </c>
    </row>
    <row r="14">
      <c r="A14" s="3" t="n">
        <v>6</v>
      </c>
      <c r="B14" s="3" t="inlineStr"/>
      <c r="C14" s="8" t="n">
        <v>47238</v>
      </c>
      <c r="D14" s="8" t="n">
        <v>7558.08</v>
      </c>
      <c r="E14" s="3" t="n">
        <v>30</v>
      </c>
      <c r="F14" s="3" t="n"/>
      <c r="G14" s="9">
        <f>C14+D14</f>
        <v/>
      </c>
      <c r="H14" s="3" t="n"/>
      <c r="I14" s="3" t="n"/>
      <c r="J14" s="3" t="inlineStr">
        <is>
          <t>4857 / 6111 indirimi uygulansın (1/0)</t>
        </is>
      </c>
      <c r="K14" s="3" t="n">
        <v>0</v>
      </c>
      <c r="L14" s="3" t="n"/>
    </row>
    <row r="15">
      <c r="A15" s="2" t="n">
        <v>7</v>
      </c>
      <c r="B15" s="2" t="inlineStr"/>
      <c r="C15" s="5" t="n">
        <v>57141</v>
      </c>
      <c r="D15" s="5" t="n">
        <v>10412.36</v>
      </c>
      <c r="E15" s="2" t="n">
        <v>30</v>
      </c>
      <c r="F15" s="2" t="n"/>
      <c r="G15" s="6">
        <f>C15+D15</f>
        <v/>
      </c>
      <c r="H15" s="2" t="n"/>
      <c r="I15" s="2" t="n"/>
      <c r="J15" s="2" t="inlineStr">
        <is>
          <t>Ek grup dahil edilsin (1/0)</t>
        </is>
      </c>
      <c r="K15" s="2" t="n">
        <v>0</v>
      </c>
      <c r="L15" s="2" t="n"/>
    </row>
    <row r="16">
      <c r="A16" s="3" t="n">
        <v>8</v>
      </c>
      <c r="B16" s="3" t="inlineStr"/>
      <c r="C16" s="8" t="n">
        <v>47238</v>
      </c>
      <c r="D16" s="8" t="n">
        <v>0</v>
      </c>
      <c r="E16" s="3" t="n">
        <v>30</v>
      </c>
      <c r="F16" s="3" t="n"/>
      <c r="G16" s="9">
        <f>C16+D16</f>
        <v/>
      </c>
      <c r="H16" s="3" t="n"/>
      <c r="I16" s="3" t="n"/>
      <c r="J16" s="3" t="n"/>
      <c r="K16" s="3" t="n"/>
      <c r="L16" s="3" t="n"/>
    </row>
    <row r="17">
      <c r="A17" s="2" t="n">
        <v>9</v>
      </c>
      <c r="B17" s="2" t="inlineStr"/>
      <c r="C17" s="5" t="n">
        <v>47238</v>
      </c>
      <c r="D17" s="5" t="n">
        <v>3988.99</v>
      </c>
      <c r="E17" s="2" t="n">
        <v>30</v>
      </c>
      <c r="F17" s="2" t="n"/>
      <c r="G17" s="6">
        <f>C17+D17</f>
        <v/>
      </c>
      <c r="H17" s="2" t="n"/>
      <c r="I17" s="2" t="n"/>
      <c r="J17" s="2" t="inlineStr">
        <is>
          <t>05510 indirim oranı (%)</t>
        </is>
      </c>
      <c r="K17" s="2" t="n">
        <v>2</v>
      </c>
      <c r="L17" s="6">
        <f>B4*K17/100</f>
        <v/>
      </c>
    </row>
    <row r="18">
      <c r="A18" s="3" t="n">
        <v>10</v>
      </c>
      <c r="B18" s="3" t="inlineStr"/>
      <c r="C18" s="8" t="n">
        <v>54301</v>
      </c>
      <c r="D18" s="8" t="n">
        <v>4585.42</v>
      </c>
      <c r="E18" s="3" t="n">
        <v>30</v>
      </c>
      <c r="F18" s="3" t="n"/>
      <c r="G18" s="9">
        <f>C18+D18</f>
        <v/>
      </c>
      <c r="H18" s="3" t="n"/>
      <c r="I18" s="3" t="n"/>
      <c r="J18" s="3" t="inlineStr">
        <is>
          <t>Teşvik oranı (%)</t>
        </is>
      </c>
      <c r="K18" s="3" t="n">
        <v>15.75</v>
      </c>
      <c r="L18" s="9">
        <f>B4*K18/100</f>
        <v/>
      </c>
    </row>
    <row r="19">
      <c r="A19" s="2" t="n">
        <v>11</v>
      </c>
      <c r="B19" s="2" t="inlineStr"/>
      <c r="C19" s="5" t="n">
        <v>47238</v>
      </c>
      <c r="D19" s="5" t="n">
        <v>7558.08</v>
      </c>
      <c r="E19" s="2" t="n">
        <v>30</v>
      </c>
      <c r="F19" s="2" t="n"/>
      <c r="G19" s="6">
        <f>C19+D19</f>
        <v/>
      </c>
      <c r="H19" s="2" t="n"/>
      <c r="I19" s="2" t="n"/>
      <c r="J19" s="2" t="n"/>
      <c r="K19" s="2" t="n"/>
      <c r="L19" s="2" t="n"/>
    </row>
    <row r="20">
      <c r="A20" s="3" t="n">
        <v>12</v>
      </c>
      <c r="B20" s="3" t="inlineStr"/>
      <c r="C20" s="8" t="n">
        <v>47238</v>
      </c>
      <c r="D20" s="8" t="n">
        <v>10077.44</v>
      </c>
      <c r="E20" s="3" t="n">
        <v>30</v>
      </c>
      <c r="F20" s="3" t="n"/>
      <c r="G20" s="9">
        <f>C20+D20</f>
        <v/>
      </c>
      <c r="H20" s="3" t="n"/>
      <c r="I20" s="3" t="n"/>
      <c r="J20" s="3" t="inlineStr">
        <is>
          <t>Toplam sigorta primi</t>
        </is>
      </c>
      <c r="K20" s="3" t="n"/>
      <c r="L20" s="9">
        <f>SUM(L9:L11,L13)</f>
        <v/>
      </c>
    </row>
    <row r="21">
      <c r="A21" s="2" t="n">
        <v>13</v>
      </c>
      <c r="B21" s="2" t="inlineStr"/>
      <c r="C21" s="5" t="n">
        <v>47238</v>
      </c>
      <c r="D21" s="5" t="n">
        <v>7558.08</v>
      </c>
      <c r="E21" s="2" t="n">
        <v>30</v>
      </c>
      <c r="F21" s="2" t="n"/>
      <c r="G21" s="6">
        <f>C21+D21</f>
        <v/>
      </c>
      <c r="H21" s="2" t="n"/>
      <c r="I21" s="2" t="n"/>
      <c r="J21" s="2" t="inlineStr">
        <is>
          <t>Net sigorta primi</t>
        </is>
      </c>
      <c r="K21" s="2" t="n"/>
      <c r="L21" s="6">
        <f>L20-L17-L18*K14</f>
        <v/>
      </c>
    </row>
    <row r="22">
      <c r="A22" s="3" t="n">
        <v>14</v>
      </c>
      <c r="B22" s="3" t="inlineStr"/>
      <c r="C22" s="8" t="n">
        <v>47238</v>
      </c>
      <c r="D22" s="8" t="n">
        <v>6718.29</v>
      </c>
      <c r="E22" s="3" t="n">
        <v>30</v>
      </c>
      <c r="F22" s="3" t="n"/>
      <c r="G22" s="9">
        <f>C22+D22</f>
        <v/>
      </c>
      <c r="H22" s="3" t="n"/>
      <c r="I22" s="3" t="n"/>
      <c r="J22" s="3" t="inlineStr">
        <is>
          <t>İşsizlik sigortası</t>
        </is>
      </c>
      <c r="K22" s="3" t="n"/>
      <c r="L22" s="9">
        <f>L12</f>
        <v/>
      </c>
    </row>
    <row r="23">
      <c r="A23" s="2" t="n">
        <v>15</v>
      </c>
      <c r="B23" s="2" t="inlineStr"/>
      <c r="C23" s="5" t="n">
        <v>47238</v>
      </c>
      <c r="D23" s="5" t="n">
        <v>6928.24</v>
      </c>
      <c r="E23" s="2" t="n">
        <v>30</v>
      </c>
      <c r="F23" s="2" t="n"/>
      <c r="G23" s="6">
        <f>C23+D23</f>
        <v/>
      </c>
      <c r="H23" s="2" t="n"/>
      <c r="I23" s="2" t="n"/>
      <c r="J23" s="2" t="n"/>
      <c r="K23" s="2" t="n"/>
      <c r="L23" s="2" t="n"/>
    </row>
    <row r="24">
      <c r="A24" s="3" t="n">
        <v>16</v>
      </c>
      <c r="B24" s="3" t="inlineStr"/>
      <c r="C24" s="8" t="n">
        <v>22825.6</v>
      </c>
      <c r="D24" s="8" t="n">
        <v>8607.809999999999</v>
      </c>
      <c r="E24" s="3" t="n">
        <v>16</v>
      </c>
      <c r="F24" s="3" t="n"/>
      <c r="G24" s="9">
        <f>C24+D24</f>
        <v/>
      </c>
      <c r="H24" s="3" t="n"/>
      <c r="I24" s="3" t="n"/>
      <c r="J24" s="3" t="inlineStr">
        <is>
          <t>ÖDENECEK TUTAR</t>
        </is>
      </c>
      <c r="K24" s="3" t="n"/>
      <c r="L24" s="9">
        <f>L21+L22</f>
        <v/>
      </c>
    </row>
    <row r="25">
      <c r="A25" s="2" t="n">
        <v>17</v>
      </c>
      <c r="B25" s="2" t="inlineStr"/>
      <c r="C25" s="5" t="n">
        <v>47238</v>
      </c>
      <c r="D25" s="5" t="n">
        <v>10077.44</v>
      </c>
      <c r="E25" s="2" t="n">
        <v>30</v>
      </c>
      <c r="F25" s="2" t="n"/>
      <c r="G25" s="6">
        <f>C25+D25</f>
        <v/>
      </c>
      <c r="H25" s="2" t="n"/>
      <c r="I25" s="2" t="n"/>
      <c r="J25" s="2" t="n"/>
      <c r="K25" s="2" t="n"/>
      <c r="L25" s="2" t="n"/>
    </row>
    <row r="26">
      <c r="A26" s="3" t="n">
        <v>18</v>
      </c>
      <c r="B26" s="3" t="inlineStr"/>
      <c r="C26" s="8" t="n">
        <v>47238</v>
      </c>
      <c r="D26" s="8" t="n">
        <v>6718.29</v>
      </c>
      <c r="E26" s="3" t="n">
        <v>30</v>
      </c>
      <c r="F26" s="3" t="n"/>
      <c r="G26" s="9">
        <f>C26+D26</f>
        <v/>
      </c>
      <c r="H26" s="3" t="n"/>
      <c r="I26" s="3" t="n"/>
      <c r="J26" s="3" t="inlineStr">
        <is>
          <t>Toplam prim günü</t>
        </is>
      </c>
      <c r="K26" s="3" t="n"/>
      <c r="L26" s="11">
        <f>SUM(E9:E58)+SUM(E63:E67)*K15</f>
        <v/>
      </c>
    </row>
    <row r="27">
      <c r="A27" s="2" t="n">
        <v>19</v>
      </c>
      <c r="B27" s="2" t="inlineStr"/>
      <c r="C27" s="5" t="n">
        <v>47238</v>
      </c>
      <c r="D27" s="5" t="n">
        <v>6718.29</v>
      </c>
      <c r="E27" s="2" t="n">
        <v>30</v>
      </c>
      <c r="F27" s="2" t="n"/>
      <c r="G27" s="6">
        <f>C27+D27</f>
        <v/>
      </c>
      <c r="H27" s="2" t="n"/>
      <c r="I27" s="2" t="n"/>
      <c r="J27" s="2" t="n"/>
      <c r="K27" s="2" t="n"/>
      <c r="L27" s="2" t="n"/>
    </row>
    <row r="28">
      <c r="A28" s="3" t="n">
        <v>20</v>
      </c>
      <c r="B28" s="3" t="inlineStr"/>
      <c r="C28" s="8" t="n">
        <v>47238</v>
      </c>
      <c r="D28" s="8" t="n">
        <v>4408.88</v>
      </c>
      <c r="E28" s="3" t="n">
        <v>30</v>
      </c>
      <c r="F28" s="3" t="n"/>
      <c r="G28" s="9">
        <f>C28+D28</f>
        <v/>
      </c>
      <c r="H28" s="3" t="n"/>
      <c r="I28" s="3" t="n"/>
      <c r="J28" s="3" t="n"/>
      <c r="K28" s="3" t="n"/>
      <c r="L28" s="3" t="n"/>
    </row>
    <row r="29">
      <c r="A29" s="2" t="n">
        <v>21</v>
      </c>
      <c r="B29" s="2" t="inlineStr"/>
      <c r="C29" s="5" t="n">
        <v>47238</v>
      </c>
      <c r="D29" s="5" t="n">
        <v>8607.809999999999</v>
      </c>
      <c r="E29" s="2" t="n">
        <v>30</v>
      </c>
      <c r="F29" s="2" t="n"/>
      <c r="G29" s="6">
        <f>C29+D29</f>
        <v/>
      </c>
      <c r="H29" s="2" t="n"/>
      <c r="I29" s="2" t="n"/>
      <c r="J29" s="2" t="n"/>
      <c r="K29" s="2" t="n"/>
      <c r="L29" s="2" t="n"/>
    </row>
    <row r="30">
      <c r="A30" s="3" t="n">
        <v>22</v>
      </c>
      <c r="B30" s="3" t="inlineStr"/>
      <c r="C30" s="8" t="n">
        <v>57141</v>
      </c>
      <c r="D30" s="8" t="n">
        <v>0</v>
      </c>
      <c r="E30" s="3" t="n">
        <v>30</v>
      </c>
      <c r="F30" s="3" t="n"/>
      <c r="G30" s="9">
        <f>C30+D30</f>
        <v/>
      </c>
      <c r="H30" s="3" t="n"/>
      <c r="I30" s="3" t="n"/>
      <c r="J30" s="3" t="n"/>
      <c r="K30" s="3" t="n"/>
      <c r="L30" s="3" t="n"/>
    </row>
    <row r="31">
      <c r="A31" s="2" t="n">
        <v>23</v>
      </c>
      <c r="B31" s="2" t="inlineStr"/>
      <c r="C31" s="5" t="n">
        <v>20469.8</v>
      </c>
      <c r="D31" s="5" t="n">
        <v>6718.29</v>
      </c>
      <c r="E31" s="2" t="n">
        <v>12</v>
      </c>
      <c r="F31" s="2" t="n"/>
      <c r="G31" s="6">
        <f>C31+D31</f>
        <v/>
      </c>
      <c r="H31" s="2" t="n"/>
      <c r="I31" s="2" t="n"/>
      <c r="J31" s="2" t="n"/>
      <c r="K31" s="2" t="n"/>
      <c r="L31" s="2" t="n"/>
    </row>
    <row r="32">
      <c r="A32" s="3" t="n">
        <v>24</v>
      </c>
      <c r="B32" s="3" t="inlineStr"/>
      <c r="C32" s="8" t="n">
        <v>26768.2</v>
      </c>
      <c r="D32" s="8" t="n">
        <v>1679.57</v>
      </c>
      <c r="E32" s="3" t="n">
        <v>15</v>
      </c>
      <c r="F32" s="3" t="n"/>
      <c r="G32" s="9">
        <f>C32+D32</f>
        <v/>
      </c>
      <c r="H32" s="3" t="n"/>
      <c r="I32" s="3" t="n"/>
      <c r="J32" s="3" t="n"/>
      <c r="K32" s="3" t="n"/>
      <c r="L32" s="3" t="n"/>
    </row>
    <row r="33">
      <c r="A33" s="2" t="n">
        <v>25</v>
      </c>
      <c r="B33" s="2" t="inlineStr"/>
      <c r="C33" s="5" t="n">
        <v>47238</v>
      </c>
      <c r="D33" s="5" t="n">
        <v>5038.72</v>
      </c>
      <c r="E33" s="2" t="n">
        <v>30</v>
      </c>
      <c r="F33" s="2" t="n"/>
      <c r="G33" s="6">
        <f>C33+D33</f>
        <v/>
      </c>
      <c r="H33" s="2" t="n"/>
      <c r="I33" s="2" t="n"/>
      <c r="J33" s="2" t="n"/>
      <c r="K33" s="2" t="n"/>
      <c r="L33" s="2" t="n"/>
    </row>
    <row r="34">
      <c r="A34" s="3" t="n">
        <v>26</v>
      </c>
      <c r="B34" s="3" t="inlineStr"/>
      <c r="C34" s="8" t="n">
        <v>45663.4</v>
      </c>
      <c r="D34" s="8" t="n">
        <v>10077.44</v>
      </c>
      <c r="E34" s="3" t="n">
        <v>29</v>
      </c>
      <c r="F34" s="3" t="n"/>
      <c r="G34" s="9">
        <f>C34+D34</f>
        <v/>
      </c>
      <c r="H34" s="3" t="n"/>
      <c r="I34" s="3" t="n"/>
      <c r="J34" s="3" t="n"/>
      <c r="K34" s="3" t="n"/>
      <c r="L34" s="3" t="n"/>
    </row>
    <row r="35">
      <c r="A35" s="2" t="n">
        <v>27</v>
      </c>
      <c r="B35" s="2" t="inlineStr"/>
      <c r="C35" s="5" t="n">
        <v>47238</v>
      </c>
      <c r="D35" s="5" t="n">
        <v>10077.44</v>
      </c>
      <c r="E35" s="2" t="n">
        <v>30</v>
      </c>
      <c r="F35" s="2" t="n"/>
      <c r="G35" s="6">
        <f>C35+D35</f>
        <v/>
      </c>
      <c r="H35" s="2" t="n"/>
      <c r="I35" s="2" t="n"/>
      <c r="J35" s="2" t="n"/>
      <c r="K35" s="2" t="n"/>
      <c r="L35" s="2" t="n"/>
    </row>
    <row r="36">
      <c r="A36" s="3" t="n">
        <v>28</v>
      </c>
      <c r="B36" s="3" t="inlineStr"/>
      <c r="C36" s="8" t="n">
        <v>45663.4</v>
      </c>
      <c r="D36" s="8" t="n">
        <v>1679.57</v>
      </c>
      <c r="E36" s="3" t="n">
        <v>29</v>
      </c>
      <c r="F36" s="3" t="n"/>
      <c r="G36" s="9">
        <f>C36+D36</f>
        <v/>
      </c>
      <c r="H36" s="3" t="n"/>
      <c r="I36" s="3" t="n"/>
      <c r="J36" s="3" t="n"/>
      <c r="K36" s="3" t="n"/>
      <c r="L36" s="3" t="n"/>
    </row>
    <row r="37">
      <c r="A37" s="2" t="n">
        <v>29</v>
      </c>
      <c r="B37" s="2" t="inlineStr"/>
      <c r="C37" s="5" t="n">
        <v>47238</v>
      </c>
      <c r="D37" s="5" t="n">
        <v>4618.83</v>
      </c>
      <c r="E37" s="2" t="n">
        <v>30</v>
      </c>
      <c r="F37" s="2" t="n"/>
      <c r="G37" s="6">
        <f>C37+D37</f>
        <v/>
      </c>
      <c r="H37" s="2" t="n"/>
      <c r="I37" s="2" t="n"/>
      <c r="J37" s="2" t="n"/>
      <c r="K37" s="2" t="n"/>
      <c r="L37" s="2" t="n"/>
    </row>
    <row r="38">
      <c r="A38" s="3" t="n">
        <v>30</v>
      </c>
      <c r="B38" s="3" t="inlineStr"/>
      <c r="C38" s="8" t="n">
        <v>47238</v>
      </c>
      <c r="D38" s="8" t="n">
        <v>5878.51</v>
      </c>
      <c r="E38" s="3" t="n">
        <v>30</v>
      </c>
      <c r="F38" s="3" t="n"/>
      <c r="G38" s="9">
        <f>C38+D38</f>
        <v/>
      </c>
      <c r="H38" s="3" t="n"/>
      <c r="I38" s="3" t="n"/>
      <c r="J38" s="3" t="n"/>
      <c r="K38" s="3" t="n"/>
      <c r="L38" s="3" t="n"/>
    </row>
    <row r="39">
      <c r="A39" s="2" t="n">
        <v>31</v>
      </c>
      <c r="B39" s="2" t="inlineStr"/>
      <c r="C39" s="5" t="n">
        <v>47238</v>
      </c>
      <c r="D39" s="5" t="n">
        <v>8607.809999999999</v>
      </c>
      <c r="E39" s="2" t="n">
        <v>30</v>
      </c>
      <c r="F39" s="2" t="n"/>
      <c r="G39" s="6">
        <f>C39+D39</f>
        <v/>
      </c>
      <c r="H39" s="2" t="n"/>
      <c r="I39" s="2" t="n"/>
      <c r="J39" s="2" t="n"/>
      <c r="K39" s="2" t="n"/>
      <c r="L39" s="2" t="n"/>
    </row>
    <row r="40">
      <c r="A40" s="3" t="n">
        <v>32</v>
      </c>
      <c r="B40" s="3" t="inlineStr"/>
      <c r="C40" s="8" t="n">
        <v>57141</v>
      </c>
      <c r="D40" s="8" t="n">
        <v>0</v>
      </c>
      <c r="E40" s="3" t="n">
        <v>30</v>
      </c>
      <c r="F40" s="3" t="n"/>
      <c r="G40" s="9">
        <f>C40+D40</f>
        <v/>
      </c>
      <c r="H40" s="3" t="n"/>
      <c r="I40" s="3" t="n"/>
      <c r="J40" s="3" t="n"/>
      <c r="K40" s="3" t="n"/>
      <c r="L40" s="3" t="n"/>
    </row>
    <row r="41">
      <c r="A41" s="2" t="n">
        <v>33</v>
      </c>
      <c r="B41" s="2" t="inlineStr"/>
      <c r="C41" s="5" t="n">
        <v>54301</v>
      </c>
      <c r="D41" s="5" t="n">
        <v>9653.51</v>
      </c>
      <c r="E41" s="2" t="n">
        <v>30</v>
      </c>
      <c r="F41" s="2" t="n"/>
      <c r="G41" s="6">
        <f>C41+D41</f>
        <v/>
      </c>
      <c r="H41" s="2" t="n"/>
      <c r="I41" s="2" t="n"/>
      <c r="J41" s="2" t="n"/>
      <c r="K41" s="2" t="n"/>
      <c r="L41" s="2" t="n"/>
    </row>
    <row r="42">
      <c r="A42" s="3" t="n">
        <v>34</v>
      </c>
      <c r="B42" s="3" t="inlineStr"/>
      <c r="C42" s="8" t="n">
        <v>57141</v>
      </c>
      <c r="D42" s="8" t="n">
        <v>0</v>
      </c>
      <c r="E42" s="3" t="n">
        <v>30</v>
      </c>
      <c r="F42" s="3" t="n"/>
      <c r="G42" s="9">
        <f>C42+D42</f>
        <v/>
      </c>
      <c r="H42" s="3" t="n"/>
      <c r="I42" s="3" t="n"/>
      <c r="J42" s="3" t="n"/>
      <c r="K42" s="3" t="n"/>
      <c r="L42" s="3" t="n"/>
    </row>
    <row r="43">
      <c r="A43" s="2" t="n">
        <v>35</v>
      </c>
      <c r="B43" s="2" t="inlineStr"/>
      <c r="C43" s="5" t="n">
        <v>47238</v>
      </c>
      <c r="D43" s="5" t="n">
        <v>10077.44</v>
      </c>
      <c r="E43" s="2" t="n">
        <v>30</v>
      </c>
      <c r="F43" s="2" t="n"/>
      <c r="G43" s="6">
        <f>C43+D43</f>
        <v/>
      </c>
      <c r="H43" s="2" t="n"/>
      <c r="I43" s="2" t="n"/>
      <c r="J43" s="2" t="n"/>
      <c r="K43" s="2" t="n"/>
      <c r="L43" s="2" t="n"/>
    </row>
    <row r="44">
      <c r="A44" s="3" t="n">
        <v>36</v>
      </c>
      <c r="B44" s="3" t="inlineStr"/>
      <c r="C44" s="8" t="n">
        <v>47238</v>
      </c>
      <c r="D44" s="8" t="n">
        <v>6718.29</v>
      </c>
      <c r="E44" s="3" t="n">
        <v>30</v>
      </c>
      <c r="F44" s="3" t="n"/>
      <c r="G44" s="9">
        <f>C44+D44</f>
        <v/>
      </c>
      <c r="H44" s="3" t="n"/>
      <c r="I44" s="3" t="n"/>
      <c r="J44" s="3" t="n"/>
      <c r="K44" s="3" t="n"/>
      <c r="L44" s="3" t="n"/>
    </row>
    <row r="45">
      <c r="A45" s="2" t="n">
        <v>37</v>
      </c>
      <c r="B45" s="2" t="inlineStr"/>
      <c r="C45" s="5" t="n">
        <v>57141</v>
      </c>
      <c r="D45" s="5" t="n">
        <v>4063.36</v>
      </c>
      <c r="E45" s="2" t="n">
        <v>30</v>
      </c>
      <c r="F45" s="2" t="n"/>
      <c r="G45" s="6">
        <f>C45+D45</f>
        <v/>
      </c>
      <c r="H45" s="2" t="n"/>
      <c r="I45" s="2" t="n"/>
      <c r="J45" s="2" t="n"/>
      <c r="K45" s="2" t="n"/>
      <c r="L45" s="2" t="n"/>
    </row>
    <row r="46">
      <c r="A46" s="3" t="n">
        <v>38</v>
      </c>
      <c r="B46" s="3" t="inlineStr"/>
      <c r="C46" s="8" t="n">
        <v>47238</v>
      </c>
      <c r="D46" s="8" t="n">
        <v>8607.809999999999</v>
      </c>
      <c r="E46" s="3" t="n">
        <v>30</v>
      </c>
      <c r="F46" s="3" t="n"/>
      <c r="G46" s="9">
        <f>C46+D46</f>
        <v/>
      </c>
      <c r="H46" s="3" t="n"/>
      <c r="I46" s="3" t="n"/>
      <c r="J46" s="3" t="n"/>
      <c r="K46" s="3" t="n"/>
      <c r="L46" s="3" t="n"/>
    </row>
    <row r="47">
      <c r="A47" s="2" t="n">
        <v>39</v>
      </c>
      <c r="B47" s="2" t="inlineStr"/>
      <c r="C47" s="5" t="n">
        <v>57141</v>
      </c>
      <c r="D47" s="5" t="n">
        <v>8126.72</v>
      </c>
      <c r="E47" s="2" t="n">
        <v>30</v>
      </c>
      <c r="F47" s="2" t="n"/>
      <c r="G47" s="6">
        <f>C47+D47</f>
        <v/>
      </c>
      <c r="H47" s="2" t="n"/>
      <c r="I47" s="2" t="n"/>
      <c r="J47" s="2" t="n"/>
      <c r="K47" s="2" t="n"/>
      <c r="L47" s="2" t="n"/>
    </row>
    <row r="48">
      <c r="A48" s="3" t="n">
        <v>40</v>
      </c>
      <c r="B48" s="3" t="inlineStr"/>
      <c r="C48" s="8" t="n">
        <v>47238</v>
      </c>
      <c r="D48" s="8" t="n">
        <v>6928.24</v>
      </c>
      <c r="E48" s="3" t="n">
        <v>30</v>
      </c>
      <c r="F48" s="3" t="n"/>
      <c r="G48" s="9">
        <f>C48+D48</f>
        <v/>
      </c>
      <c r="H48" s="3" t="n"/>
      <c r="I48" s="3" t="n"/>
      <c r="J48" s="3" t="n"/>
      <c r="K48" s="3" t="n"/>
      <c r="L48" s="3" t="n"/>
    </row>
    <row r="49">
      <c r="A49" s="2" t="n">
        <v>41</v>
      </c>
      <c r="B49" s="2" t="inlineStr"/>
      <c r="C49" s="5" t="n">
        <v>47238</v>
      </c>
      <c r="D49" s="5" t="n">
        <v>10077.44</v>
      </c>
      <c r="E49" s="2" t="n">
        <v>30</v>
      </c>
      <c r="F49" s="2" t="n"/>
      <c r="G49" s="6">
        <f>C49+D49</f>
        <v/>
      </c>
      <c r="H49" s="2" t="n"/>
      <c r="I49" s="2" t="n"/>
      <c r="J49" s="2" t="n"/>
      <c r="K49" s="2" t="n"/>
      <c r="L49" s="2" t="n"/>
    </row>
    <row r="50">
      <c r="A50" s="3" t="n">
        <v>42</v>
      </c>
      <c r="B50" s="3" t="inlineStr"/>
      <c r="C50" s="8" t="n">
        <v>47238</v>
      </c>
      <c r="D50" s="8" t="n">
        <v>7558.08</v>
      </c>
      <c r="E50" s="3" t="n">
        <v>30</v>
      </c>
      <c r="F50" s="3" t="n"/>
      <c r="G50" s="9">
        <f>C50+D50</f>
        <v/>
      </c>
      <c r="H50" s="3" t="n"/>
      <c r="I50" s="3" t="n"/>
      <c r="J50" s="3" t="n"/>
      <c r="K50" s="3" t="n"/>
      <c r="L50" s="3" t="n"/>
    </row>
    <row r="51">
      <c r="A51" s="2" t="n">
        <v>43</v>
      </c>
      <c r="B51" s="2" t="inlineStr"/>
      <c r="C51" s="5" t="n">
        <v>57141</v>
      </c>
      <c r="D51" s="5" t="n">
        <v>0</v>
      </c>
      <c r="E51" s="2" t="n">
        <v>30</v>
      </c>
      <c r="F51" s="2" t="n"/>
      <c r="G51" s="6">
        <f>C51+D51</f>
        <v/>
      </c>
      <c r="H51" s="2" t="n"/>
      <c r="I51" s="2" t="n"/>
      <c r="J51" s="2" t="n"/>
      <c r="K51" s="2" t="n"/>
      <c r="L51" s="2" t="n"/>
    </row>
    <row r="52">
      <c r="A52" s="3" t="n">
        <v>44</v>
      </c>
      <c r="B52" s="3" t="inlineStr"/>
      <c r="C52" s="8" t="n">
        <v>57141</v>
      </c>
      <c r="D52" s="8" t="n">
        <v>6856.92</v>
      </c>
      <c r="E52" s="3" t="n">
        <v>30</v>
      </c>
      <c r="F52" s="3" t="n"/>
      <c r="G52" s="9">
        <f>C52+D52</f>
        <v/>
      </c>
      <c r="H52" s="3" t="n"/>
      <c r="I52" s="3" t="n"/>
      <c r="J52" s="3" t="n"/>
      <c r="K52" s="3" t="n"/>
      <c r="L52" s="3" t="n"/>
    </row>
    <row r="53">
      <c r="A53" s="2" t="n">
        <v>45</v>
      </c>
      <c r="B53" s="2" t="inlineStr"/>
      <c r="C53" s="5" t="n">
        <v>0</v>
      </c>
      <c r="D53" s="5" t="n">
        <v>0</v>
      </c>
      <c r="E53" s="2" t="n">
        <v>0</v>
      </c>
      <c r="F53" s="2" t="n"/>
      <c r="G53" s="6">
        <f>C53+D53</f>
        <v/>
      </c>
      <c r="H53" s="2" t="n"/>
      <c r="I53" s="2" t="n"/>
      <c r="J53" s="2" t="n"/>
      <c r="K53" s="2" t="n"/>
      <c r="L53" s="2" t="n"/>
    </row>
    <row r="54">
      <c r="A54" s="3" t="n">
        <v>46</v>
      </c>
      <c r="B54" s="3" t="inlineStr"/>
      <c r="C54" s="8" t="n">
        <v>0</v>
      </c>
      <c r="D54" s="8" t="n">
        <v>0</v>
      </c>
      <c r="E54" s="3" t="n">
        <v>0</v>
      </c>
      <c r="F54" s="3" t="n"/>
      <c r="G54" s="9">
        <f>C54+D54</f>
        <v/>
      </c>
      <c r="H54" s="3" t="n"/>
      <c r="I54" s="3" t="n"/>
      <c r="J54" s="3" t="n"/>
      <c r="K54" s="3" t="n"/>
      <c r="L54" s="3" t="n"/>
    </row>
    <row r="55">
      <c r="A55" s="2" t="n">
        <v>47</v>
      </c>
      <c r="B55" s="2" t="inlineStr"/>
      <c r="C55" s="5" t="n">
        <v>0</v>
      </c>
      <c r="D55" s="5" t="n">
        <v>0</v>
      </c>
      <c r="E55" s="2" t="n">
        <v>0</v>
      </c>
      <c r="F55" s="2" t="n"/>
      <c r="G55" s="6">
        <f>C55+D55</f>
        <v/>
      </c>
      <c r="H55" s="2" t="n"/>
      <c r="I55" s="2" t="n"/>
      <c r="J55" s="2" t="n"/>
      <c r="K55" s="2" t="n"/>
      <c r="L55" s="2" t="n"/>
    </row>
    <row r="56">
      <c r="A56" s="3" t="n">
        <v>48</v>
      </c>
      <c r="B56" s="3" t="inlineStr"/>
      <c r="C56" s="8" t="n">
        <v>0</v>
      </c>
      <c r="D56" s="8" t="n">
        <v>0</v>
      </c>
      <c r="E56" s="3" t="n">
        <v>0</v>
      </c>
      <c r="F56" s="3" t="n"/>
      <c r="G56" s="9">
        <f>C56+D56</f>
        <v/>
      </c>
      <c r="H56" s="3" t="n"/>
      <c r="I56" s="3" t="n"/>
      <c r="J56" s="3" t="n"/>
      <c r="K56" s="3" t="n"/>
      <c r="L56" s="3" t="n"/>
    </row>
    <row r="57">
      <c r="A57" s="2" t="n">
        <v>49</v>
      </c>
      <c r="B57" s="2" t="inlineStr"/>
      <c r="C57" s="5" t="n">
        <v>0</v>
      </c>
      <c r="D57" s="5" t="n">
        <v>0</v>
      </c>
      <c r="E57" s="2" t="n">
        <v>0</v>
      </c>
      <c r="F57" s="2" t="n"/>
      <c r="G57" s="6">
        <f>C57+D57</f>
        <v/>
      </c>
      <c r="H57" s="2" t="n"/>
      <c r="I57" s="2" t="n"/>
      <c r="J57" s="2" t="n"/>
      <c r="K57" s="2" t="n"/>
      <c r="L57" s="2" t="n"/>
    </row>
    <row r="58">
      <c r="A58" s="3" t="n">
        <v>50</v>
      </c>
      <c r="B58" s="3" t="inlineStr"/>
      <c r="C58" s="8" t="n">
        <v>0</v>
      </c>
      <c r="D58" s="8" t="n">
        <v>0</v>
      </c>
      <c r="E58" s="3" t="n">
        <v>0</v>
      </c>
      <c r="F58" s="3" t="n"/>
      <c r="G58" s="9">
        <f>C58+D58</f>
        <v/>
      </c>
      <c r="H58" s="3" t="n"/>
      <c r="I58" s="3" t="n"/>
      <c r="J58" s="3" t="n"/>
      <c r="K58" s="3" t="n"/>
      <c r="L58" s="3" t="n"/>
    </row>
    <row r="59">
      <c r="A59" s="2" t="n"/>
      <c r="B59" s="2" t="inlineStr">
        <is>
          <t>TOPLAM</t>
        </is>
      </c>
      <c r="C59" s="10">
        <f>SUM(C9:C58)</f>
        <v/>
      </c>
      <c r="D59" s="10">
        <f>SUM(D9:D58)</f>
        <v/>
      </c>
      <c r="E59" s="10">
        <f>SUM(E9:E58)</f>
        <v/>
      </c>
      <c r="F59" s="2" t="n"/>
      <c r="G59" s="10">
        <f>SUM(G9:G58)</f>
        <v/>
      </c>
      <c r="H59" s="2" t="n"/>
      <c r="I59" s="2" t="n"/>
      <c r="J59" s="2" t="n"/>
      <c r="K59" s="2" t="n"/>
      <c r="L59" s="2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2" t="n"/>
      <c r="B61" s="2" t="inlineStr">
        <is>
          <t>EK ÇALIŞAN GRUBU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30" customHeight="1">
      <c r="A62" s="3" t="inlineStr">
        <is>
          <t>Sıra</t>
        </is>
      </c>
      <c r="B62" s="3" t="inlineStr">
        <is>
          <t>Çalışan adı</t>
        </is>
      </c>
      <c r="C62" s="3" t="inlineStr">
        <is>
          <t>Ücret</t>
        </is>
      </c>
      <c r="D62" s="3" t="inlineStr">
        <is>
          <t>İkramiye</t>
        </is>
      </c>
      <c r="E62" s="3" t="inlineStr">
        <is>
          <t>Gün</t>
        </is>
      </c>
      <c r="F62" s="3" t="inlineStr"/>
      <c r="G62" s="3" t="inlineStr">
        <is>
          <t>Kazanç</t>
        </is>
      </c>
      <c r="H62" s="3" t="n"/>
      <c r="I62" s="3" t="n"/>
      <c r="J62" s="3" t="n"/>
      <c r="K62" s="3" t="n"/>
      <c r="L62" s="3" t="n"/>
    </row>
    <row r="63">
      <c r="A63" s="2" t="n">
        <v>1</v>
      </c>
      <c r="B63" s="2" t="inlineStr"/>
      <c r="C63" s="5" t="n">
        <v>57141</v>
      </c>
      <c r="D63" s="5" t="n">
        <v>0</v>
      </c>
      <c r="E63" s="2" t="n">
        <v>30</v>
      </c>
      <c r="F63" s="2" t="n"/>
      <c r="G63" s="6">
        <f>C63+D63</f>
        <v/>
      </c>
      <c r="H63" s="2" t="n"/>
      <c r="I63" s="2" t="n"/>
      <c r="J63" s="2" t="n"/>
      <c r="K63" s="2" t="n"/>
      <c r="L63" s="2" t="n"/>
    </row>
    <row r="64">
      <c r="A64" s="3" t="n">
        <v>2</v>
      </c>
      <c r="B64" s="3" t="inlineStr"/>
      <c r="C64" s="8" t="n">
        <v>57141</v>
      </c>
      <c r="D64" s="8" t="n">
        <v>9142.559999999999</v>
      </c>
      <c r="E64" s="3" t="n">
        <v>30</v>
      </c>
      <c r="F64" s="3" t="n"/>
      <c r="G64" s="9">
        <f>C64+D64</f>
        <v/>
      </c>
      <c r="H64" s="3" t="n"/>
      <c r="I64" s="3" t="n"/>
      <c r="J64" s="3" t="n"/>
      <c r="K64" s="3" t="n"/>
      <c r="L64" s="3" t="n"/>
    </row>
    <row r="65">
      <c r="A65" s="2" t="n">
        <v>3</v>
      </c>
      <c r="B65" s="2" t="inlineStr"/>
      <c r="C65" s="5" t="n">
        <v>63044</v>
      </c>
      <c r="D65" s="5" t="n">
        <v>1681.17</v>
      </c>
      <c r="E65" s="2" t="n">
        <v>30</v>
      </c>
      <c r="F65" s="2" t="n"/>
      <c r="G65" s="6">
        <f>C65+D65</f>
        <v/>
      </c>
      <c r="H65" s="2" t="n"/>
      <c r="I65" s="2" t="n"/>
      <c r="J65" s="2" t="n"/>
      <c r="K65" s="2" t="n"/>
      <c r="L65" s="2" t="n"/>
    </row>
    <row r="66">
      <c r="A66" s="3" t="n">
        <v>4</v>
      </c>
      <c r="B66" s="3" t="inlineStr"/>
      <c r="C66" s="8" t="n">
        <v>57141</v>
      </c>
      <c r="D66" s="8" t="n">
        <v>12190.08</v>
      </c>
      <c r="E66" s="3" t="n">
        <v>30</v>
      </c>
      <c r="F66" s="3" t="n"/>
      <c r="G66" s="9">
        <f>C66+D66</f>
        <v/>
      </c>
      <c r="H66" s="3" t="n"/>
      <c r="I66" s="3" t="n"/>
      <c r="J66" s="3" t="n"/>
      <c r="K66" s="3" t="n"/>
      <c r="L66" s="3" t="n"/>
    </row>
    <row r="67">
      <c r="A67" s="2" t="n">
        <v>5</v>
      </c>
      <c r="B67" s="2" t="inlineStr"/>
      <c r="C67" s="5" t="n">
        <v>47238</v>
      </c>
      <c r="D67" s="5" t="n">
        <v>7558.08</v>
      </c>
      <c r="E67" s="2" t="n">
        <v>30</v>
      </c>
      <c r="F67" s="2" t="n"/>
      <c r="G67" s="6">
        <f>C67+D67</f>
        <v/>
      </c>
      <c r="H67" s="2" t="n"/>
      <c r="I67" s="2" t="n"/>
      <c r="J67" s="2" t="n"/>
      <c r="K67" s="2" t="n"/>
      <c r="L67" s="2" t="n"/>
    </row>
  </sheetData>
  <autoFilter ref="A8:G58"/>
  <mergeCells count="1">
    <mergeCell ref="A1:H2"/>
  </mergeCells>
  <dataValidations count="4">
    <dataValidation sqref="C9:D58 C63:D67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  <dataValidation sqref="E9:E58 E63:E67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K9:K13 K17:K18" showDropDown="0" showInputMessage="0" showErrorMessage="1" allowBlank="0" errorTitle="Geçersiz giriş" error="Sıfır veya daha büyük, geçerli bir değer girin." type="decimal" errorStyle="stop" operator="between">
      <formula1>0</formula1>
      <formula2>100</formula2>
    </dataValidation>
    <dataValidation sqref="K14:K15" showDropDown="0" showInputMessage="0" showErrorMessage="1" allowBlank="0" errorTitle="Geçersiz giriş" error="Sıfır veya daha büyük, geçerli bir değer girin." type="whole" errorStyle="stop" operator="between">
      <formula1>0</formula1>
      <formula2>1</formula2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93F32"/>
    <outlinePr summaryBelow="1" summaryRight="1"/>
    <pageSetUpPr fitToPage="1"/>
  </sheetPr>
  <dimension ref="A1:L5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20" customWidth="1" min="4" max="4"/>
    <col width="20" customWidth="1" min="5" max="5"/>
    <col width="10" customWidth="1" min="6" max="6"/>
    <col width="22" customWidth="1" min="7" max="7"/>
    <col width="22" customWidth="1" min="8" max="8"/>
    <col width="4" customWidth="1" min="9" max="9"/>
    <col width="31" customWidth="1" min="10" max="10"/>
    <col width="15" customWidth="1" min="11" max="11"/>
    <col width="23" customWidth="1" min="12" max="12"/>
  </cols>
  <sheetData>
    <row r="1" ht="25" customHeight="1">
      <c r="A1" s="1" t="inlineStr">
        <is>
          <t>TAHAKKUK | 6111 Teşvik</t>
        </is>
      </c>
    </row>
    <row r="2" ht="20" customHeight="1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Prime esas kazanç</t>
        </is>
      </c>
      <c r="B4" s="8" t="n">
        <v>62467.83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Çalışan kazançları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30" customHeight="1">
      <c r="A8" s="3" t="inlineStr">
        <is>
          <t>Sıra</t>
        </is>
      </c>
      <c r="B8" s="3" t="inlineStr">
        <is>
          <t>Çalışan adı</t>
        </is>
      </c>
      <c r="C8" s="3" t="inlineStr">
        <is>
          <t>Ücret</t>
        </is>
      </c>
      <c r="D8" s="3" t="inlineStr">
        <is>
          <t>İkramiye</t>
        </is>
      </c>
      <c r="E8" s="3" t="inlineStr">
        <is>
          <t>Gün</t>
        </is>
      </c>
      <c r="F8" s="3" t="inlineStr"/>
      <c r="G8" s="3" t="inlineStr">
        <is>
          <t>Kazanç</t>
        </is>
      </c>
      <c r="H8" s="3" t="n"/>
      <c r="I8" s="3" t="n"/>
      <c r="J8" s="3" t="n"/>
      <c r="K8" s="3" t="n"/>
      <c r="L8" s="3" t="n"/>
    </row>
    <row r="9">
      <c r="A9" s="2" t="n">
        <v>1</v>
      </c>
      <c r="B9" s="2" t="inlineStr"/>
      <c r="C9" s="5" t="n">
        <v>0</v>
      </c>
      <c r="D9" s="5" t="n">
        <v>0</v>
      </c>
      <c r="E9" s="2" t="n">
        <v>0</v>
      </c>
      <c r="F9" s="2" t="n"/>
      <c r="G9" s="6">
        <f>C9+D9</f>
        <v/>
      </c>
      <c r="H9" s="2" t="n"/>
      <c r="I9" s="2" t="n"/>
      <c r="J9" s="2" t="inlineStr">
        <is>
          <t>Kısa vadeli sigorta</t>
        </is>
      </c>
      <c r="K9" s="2" t="n">
        <v>2.25</v>
      </c>
      <c r="L9" s="6">
        <f>$B$4*K9/100</f>
        <v/>
      </c>
    </row>
    <row r="10">
      <c r="A10" s="3" t="n">
        <v>2</v>
      </c>
      <c r="B10" s="3" t="inlineStr"/>
      <c r="C10" s="8" t="n">
        <v>0</v>
      </c>
      <c r="D10" s="8" t="n">
        <v>0</v>
      </c>
      <c r="E10" s="3" t="n">
        <v>0</v>
      </c>
      <c r="F10" s="3" t="n"/>
      <c r="G10" s="9">
        <f>C10+D10</f>
        <v/>
      </c>
      <c r="H10" s="3" t="n"/>
      <c r="I10" s="3" t="n"/>
      <c r="J10" s="3" t="inlineStr">
        <is>
          <t>Malullük / yaşlılık / ölüm</t>
        </is>
      </c>
      <c r="K10" s="3" t="n">
        <v>21</v>
      </c>
      <c r="L10" s="9">
        <f>$B$4*K10/100</f>
        <v/>
      </c>
    </row>
    <row r="11">
      <c r="A11" s="2" t="n">
        <v>3</v>
      </c>
      <c r="B11" s="2" t="inlineStr"/>
      <c r="C11" s="5" t="n">
        <v>0</v>
      </c>
      <c r="D11" s="5" t="n">
        <v>0</v>
      </c>
      <c r="E11" s="2" t="n">
        <v>0</v>
      </c>
      <c r="F11" s="2" t="n"/>
      <c r="G11" s="6">
        <f>C11+D11</f>
        <v/>
      </c>
      <c r="H11" s="2" t="n"/>
      <c r="I11" s="2" t="n"/>
      <c r="J11" s="2" t="inlineStr">
        <is>
          <t>Genel sağlık sigortası</t>
        </is>
      </c>
      <c r="K11" s="2" t="n">
        <v>12.5</v>
      </c>
      <c r="L11" s="6">
        <f>$B$4*K11/100</f>
        <v/>
      </c>
    </row>
    <row r="12">
      <c r="A12" s="3" t="n">
        <v>4</v>
      </c>
      <c r="B12" s="3" t="inlineStr"/>
      <c r="C12" s="8" t="n">
        <v>0</v>
      </c>
      <c r="D12" s="8" t="n">
        <v>0</v>
      </c>
      <c r="E12" s="3" t="n">
        <v>0</v>
      </c>
      <c r="F12" s="3" t="n"/>
      <c r="G12" s="9">
        <f>C12+D12</f>
        <v/>
      </c>
      <c r="H12" s="3" t="n"/>
      <c r="I12" s="3" t="n"/>
      <c r="J12" s="3" t="inlineStr">
        <is>
          <t>İşsizlik sigortası</t>
        </is>
      </c>
      <c r="K12" s="3" t="n">
        <v>3</v>
      </c>
      <c r="L12" s="9">
        <f>$B$4*K12/100</f>
        <v/>
      </c>
    </row>
    <row r="13">
      <c r="A13" s="2" t="n">
        <v>5</v>
      </c>
      <c r="B13" s="2" t="inlineStr"/>
      <c r="C13" s="5" t="n">
        <v>0</v>
      </c>
      <c r="D13" s="5" t="n">
        <v>0</v>
      </c>
      <c r="E13" s="2" t="n">
        <v>0</v>
      </c>
      <c r="F13" s="2" t="n"/>
      <c r="G13" s="6">
        <f>C13+D13</f>
        <v/>
      </c>
      <c r="H13" s="2" t="n"/>
      <c r="I13" s="2" t="n"/>
      <c r="J13" s="2" t="inlineStr">
        <is>
          <t>Sosyal güvenlik destek primi</t>
        </is>
      </c>
      <c r="K13" s="2" t="n">
        <v>0</v>
      </c>
      <c r="L13" s="6">
        <f>$B$4*K13/100</f>
        <v/>
      </c>
    </row>
    <row r="14">
      <c r="A14" s="3" t="n">
        <v>6</v>
      </c>
      <c r="B14" s="3" t="inlineStr"/>
      <c r="C14" s="8" t="n">
        <v>0</v>
      </c>
      <c r="D14" s="8" t="n">
        <v>0</v>
      </c>
      <c r="E14" s="3" t="n">
        <v>0</v>
      </c>
      <c r="F14" s="3" t="n"/>
      <c r="G14" s="9">
        <f>C14+D14</f>
        <v/>
      </c>
      <c r="H14" s="3" t="n"/>
      <c r="I14" s="3" t="n"/>
      <c r="J14" s="3" t="inlineStr">
        <is>
          <t>4857 / 6111 indirimi uygulansın (1/0)</t>
        </is>
      </c>
      <c r="K14" s="3" t="n">
        <v>1</v>
      </c>
      <c r="L14" s="3" t="n"/>
    </row>
    <row r="15">
      <c r="A15" s="2" t="n">
        <v>7</v>
      </c>
      <c r="B15" s="2" t="inlineStr"/>
      <c r="C15" s="5" t="n">
        <v>0</v>
      </c>
      <c r="D15" s="5" t="n">
        <v>0</v>
      </c>
      <c r="E15" s="2" t="n">
        <v>0</v>
      </c>
      <c r="F15" s="2" t="n"/>
      <c r="G15" s="6">
        <f>C15+D15</f>
        <v/>
      </c>
      <c r="H15" s="2" t="n"/>
      <c r="I15" s="2" t="n"/>
      <c r="J15" s="2" t="inlineStr">
        <is>
          <t>Ek grup dahil edilsin (1/0)</t>
        </is>
      </c>
      <c r="K15" s="2" t="n">
        <v>0</v>
      </c>
      <c r="L15" s="2" t="n"/>
    </row>
    <row r="16">
      <c r="A16" s="3" t="n">
        <v>8</v>
      </c>
      <c r="B16" s="3" t="inlineStr"/>
      <c r="C16" s="8" t="n">
        <v>0</v>
      </c>
      <c r="D16" s="8" t="n">
        <v>0</v>
      </c>
      <c r="E16" s="3" t="n">
        <v>0</v>
      </c>
      <c r="F16" s="3" t="n"/>
      <c r="G16" s="9">
        <f>C16+D16</f>
        <v/>
      </c>
      <c r="H16" s="3" t="n"/>
      <c r="I16" s="3" t="n"/>
      <c r="J16" s="3" t="n"/>
      <c r="K16" s="3" t="n"/>
      <c r="L16" s="3" t="n"/>
    </row>
    <row r="17">
      <c r="A17" s="2" t="n">
        <v>9</v>
      </c>
      <c r="B17" s="2" t="inlineStr"/>
      <c r="C17" s="5" t="n">
        <v>0</v>
      </c>
      <c r="D17" s="5" t="n">
        <v>0</v>
      </c>
      <c r="E17" s="2" t="n">
        <v>0</v>
      </c>
      <c r="F17" s="2" t="n"/>
      <c r="G17" s="6">
        <f>C17+D17</f>
        <v/>
      </c>
      <c r="H17" s="2" t="n"/>
      <c r="I17" s="2" t="n"/>
      <c r="J17" s="2" t="inlineStr">
        <is>
          <t>05510 indirim oranı (%)</t>
        </is>
      </c>
      <c r="K17" s="2" t="n">
        <v>2</v>
      </c>
      <c r="L17" s="6">
        <f>B4*K17/100</f>
        <v/>
      </c>
    </row>
    <row r="18">
      <c r="A18" s="3" t="n">
        <v>10</v>
      </c>
      <c r="B18" s="3" t="inlineStr"/>
      <c r="C18" s="8" t="n">
        <v>0</v>
      </c>
      <c r="D18" s="8" t="n">
        <v>0</v>
      </c>
      <c r="E18" s="3" t="n">
        <v>0</v>
      </c>
      <c r="F18" s="3" t="n"/>
      <c r="G18" s="9">
        <f>C18+D18</f>
        <v/>
      </c>
      <c r="H18" s="3" t="n"/>
      <c r="I18" s="3" t="n"/>
      <c r="J18" s="3" t="inlineStr">
        <is>
          <t>Teşvik oranı (%)</t>
        </is>
      </c>
      <c r="K18" s="3" t="n">
        <v>15.75</v>
      </c>
      <c r="L18" s="9">
        <f>B4*K18/100</f>
        <v/>
      </c>
    </row>
    <row r="19">
      <c r="A19" s="2" t="n">
        <v>11</v>
      </c>
      <c r="B19" s="2" t="inlineStr"/>
      <c r="C19" s="5" t="n">
        <v>0</v>
      </c>
      <c r="D19" s="5" t="n">
        <v>0</v>
      </c>
      <c r="E19" s="2" t="n">
        <v>0</v>
      </c>
      <c r="F19" s="2" t="n"/>
      <c r="G19" s="6">
        <f>C19+D19</f>
        <v/>
      </c>
      <c r="H19" s="2" t="n"/>
      <c r="I19" s="2" t="n"/>
      <c r="J19" s="2" t="n"/>
      <c r="K19" s="2" t="n"/>
      <c r="L19" s="2" t="n"/>
    </row>
    <row r="20">
      <c r="A20" s="3" t="n">
        <v>12</v>
      </c>
      <c r="B20" s="3" t="inlineStr"/>
      <c r="C20" s="8" t="n">
        <v>0</v>
      </c>
      <c r="D20" s="8" t="n">
        <v>0</v>
      </c>
      <c r="E20" s="3" t="n">
        <v>0</v>
      </c>
      <c r="F20" s="3" t="n"/>
      <c r="G20" s="9">
        <f>C20+D20</f>
        <v/>
      </c>
      <c r="H20" s="3" t="n"/>
      <c r="I20" s="3" t="n"/>
      <c r="J20" s="3" t="inlineStr">
        <is>
          <t>Toplam sigorta primi</t>
        </is>
      </c>
      <c r="K20" s="3" t="n"/>
      <c r="L20" s="9">
        <f>SUM(L9:L11,L13)</f>
        <v/>
      </c>
    </row>
    <row r="21">
      <c r="A21" s="2" t="n">
        <v>13</v>
      </c>
      <c r="B21" s="2" t="inlineStr"/>
      <c r="C21" s="5" t="n">
        <v>0</v>
      </c>
      <c r="D21" s="5" t="n">
        <v>0</v>
      </c>
      <c r="E21" s="2" t="n">
        <v>0</v>
      </c>
      <c r="F21" s="2" t="n"/>
      <c r="G21" s="6">
        <f>C21+D21</f>
        <v/>
      </c>
      <c r="H21" s="2" t="n"/>
      <c r="I21" s="2" t="n"/>
      <c r="J21" s="2" t="inlineStr">
        <is>
          <t>Net sigorta primi</t>
        </is>
      </c>
      <c r="K21" s="2" t="n"/>
      <c r="L21" s="6">
        <f>L20-L17-L18*K14</f>
        <v/>
      </c>
    </row>
    <row r="22">
      <c r="A22" s="3" t="n">
        <v>14</v>
      </c>
      <c r="B22" s="3" t="inlineStr"/>
      <c r="C22" s="8" t="n">
        <v>0</v>
      </c>
      <c r="D22" s="8" t="n">
        <v>0</v>
      </c>
      <c r="E22" s="3" t="n">
        <v>0</v>
      </c>
      <c r="F22" s="3" t="n"/>
      <c r="G22" s="9">
        <f>C22+D22</f>
        <v/>
      </c>
      <c r="H22" s="3" t="n"/>
      <c r="I22" s="3" t="n"/>
      <c r="J22" s="3" t="inlineStr">
        <is>
          <t>İşsizlik sigortası</t>
        </is>
      </c>
      <c r="K22" s="3" t="n"/>
      <c r="L22" s="9">
        <f>L12</f>
        <v/>
      </c>
    </row>
    <row r="23">
      <c r="A23" s="2" t="n">
        <v>15</v>
      </c>
      <c r="B23" s="2" t="inlineStr"/>
      <c r="C23" s="5" t="n">
        <v>0</v>
      </c>
      <c r="D23" s="5" t="n">
        <v>0</v>
      </c>
      <c r="E23" s="2" t="n">
        <v>0</v>
      </c>
      <c r="F23" s="2" t="n"/>
      <c r="G23" s="6">
        <f>C23+D23</f>
        <v/>
      </c>
      <c r="H23" s="2" t="n"/>
      <c r="I23" s="2" t="n"/>
      <c r="J23" s="2" t="n"/>
      <c r="K23" s="2" t="n"/>
      <c r="L23" s="2" t="n"/>
    </row>
    <row r="24">
      <c r="A24" s="3" t="n">
        <v>16</v>
      </c>
      <c r="B24" s="3" t="inlineStr"/>
      <c r="C24" s="8" t="n">
        <v>0</v>
      </c>
      <c r="D24" s="8" t="n">
        <v>0</v>
      </c>
      <c r="E24" s="3" t="n">
        <v>0</v>
      </c>
      <c r="F24" s="3" t="n"/>
      <c r="G24" s="9">
        <f>C24+D24</f>
        <v/>
      </c>
      <c r="H24" s="3" t="n"/>
      <c r="I24" s="3" t="n"/>
      <c r="J24" s="3" t="inlineStr">
        <is>
          <t>ÖDENECEK TUTAR</t>
        </is>
      </c>
      <c r="K24" s="3" t="n"/>
      <c r="L24" s="9">
        <f>L21+L22</f>
        <v/>
      </c>
    </row>
    <row r="25">
      <c r="A25" s="2" t="n">
        <v>17</v>
      </c>
      <c r="B25" s="2" t="inlineStr"/>
      <c r="C25" s="5" t="n">
        <v>0</v>
      </c>
      <c r="D25" s="5" t="n">
        <v>0</v>
      </c>
      <c r="E25" s="2" t="n">
        <v>0</v>
      </c>
      <c r="F25" s="2" t="n"/>
      <c r="G25" s="6">
        <f>C25+D25</f>
        <v/>
      </c>
      <c r="H25" s="2" t="n"/>
      <c r="I25" s="2" t="n"/>
      <c r="J25" s="2" t="n"/>
      <c r="K25" s="2" t="n"/>
      <c r="L25" s="2" t="n"/>
    </row>
    <row r="26">
      <c r="A26" s="3" t="n">
        <v>18</v>
      </c>
      <c r="B26" s="3" t="inlineStr"/>
      <c r="C26" s="8" t="n">
        <v>0</v>
      </c>
      <c r="D26" s="8" t="n">
        <v>0</v>
      </c>
      <c r="E26" s="3" t="n">
        <v>0</v>
      </c>
      <c r="F26" s="3" t="n"/>
      <c r="G26" s="9">
        <f>C26+D26</f>
        <v/>
      </c>
      <c r="H26" s="3" t="n"/>
      <c r="I26" s="3" t="n"/>
      <c r="J26" s="3" t="inlineStr">
        <is>
          <t>Toplam prim günü</t>
        </is>
      </c>
      <c r="K26" s="3" t="n"/>
      <c r="L26" s="11">
        <f>SUM(E9:E58)</f>
        <v/>
      </c>
    </row>
    <row r="27">
      <c r="A27" s="2" t="n">
        <v>19</v>
      </c>
      <c r="B27" s="2" t="inlineStr"/>
      <c r="C27" s="5" t="n">
        <v>0</v>
      </c>
      <c r="D27" s="5" t="n">
        <v>0</v>
      </c>
      <c r="E27" s="2" t="n">
        <v>0</v>
      </c>
      <c r="F27" s="2" t="n"/>
      <c r="G27" s="6">
        <f>C27+D27</f>
        <v/>
      </c>
      <c r="H27" s="2" t="n"/>
      <c r="I27" s="2" t="n"/>
      <c r="J27" s="2" t="n"/>
      <c r="K27" s="2" t="n"/>
      <c r="L27" s="2" t="n"/>
    </row>
    <row r="28">
      <c r="A28" s="3" t="n">
        <v>20</v>
      </c>
      <c r="B28" s="3" t="inlineStr"/>
      <c r="C28" s="8" t="n">
        <v>0</v>
      </c>
      <c r="D28" s="8" t="n">
        <v>0</v>
      </c>
      <c r="E28" s="3" t="n">
        <v>0</v>
      </c>
      <c r="F28" s="3" t="n"/>
      <c r="G28" s="9">
        <f>C28+D28</f>
        <v/>
      </c>
      <c r="H28" s="3" t="n"/>
      <c r="I28" s="3" t="n"/>
      <c r="J28" s="3" t="n"/>
      <c r="K28" s="3" t="n"/>
      <c r="L28" s="3" t="n"/>
    </row>
    <row r="29">
      <c r="A29" s="2" t="n">
        <v>21</v>
      </c>
      <c r="B29" s="2" t="inlineStr"/>
      <c r="C29" s="5" t="n">
        <v>0</v>
      </c>
      <c r="D29" s="5" t="n">
        <v>0</v>
      </c>
      <c r="E29" s="2" t="n">
        <v>0</v>
      </c>
      <c r="F29" s="2" t="n"/>
      <c r="G29" s="6">
        <f>C29+D29</f>
        <v/>
      </c>
      <c r="H29" s="2" t="n"/>
      <c r="I29" s="2" t="n"/>
      <c r="J29" s="2" t="n"/>
      <c r="K29" s="2" t="n"/>
      <c r="L29" s="2" t="n"/>
    </row>
    <row r="30">
      <c r="A30" s="3" t="n">
        <v>22</v>
      </c>
      <c r="B30" s="3" t="inlineStr"/>
      <c r="C30" s="8" t="n">
        <v>0</v>
      </c>
      <c r="D30" s="8" t="n">
        <v>0</v>
      </c>
      <c r="E30" s="3" t="n">
        <v>0</v>
      </c>
      <c r="F30" s="3" t="n"/>
      <c r="G30" s="9">
        <f>C30+D30</f>
        <v/>
      </c>
      <c r="H30" s="3" t="n"/>
      <c r="I30" s="3" t="n"/>
      <c r="J30" s="3" t="n"/>
      <c r="K30" s="3" t="n"/>
      <c r="L30" s="3" t="n"/>
    </row>
    <row r="31">
      <c r="A31" s="2" t="n">
        <v>23</v>
      </c>
      <c r="B31" s="2" t="inlineStr"/>
      <c r="C31" s="5" t="n">
        <v>0</v>
      </c>
      <c r="D31" s="5" t="n">
        <v>0</v>
      </c>
      <c r="E31" s="2" t="n">
        <v>0</v>
      </c>
      <c r="F31" s="2" t="n"/>
      <c r="G31" s="6">
        <f>C31+D31</f>
        <v/>
      </c>
      <c r="H31" s="2" t="n"/>
      <c r="I31" s="2" t="n"/>
      <c r="J31" s="2" t="n"/>
      <c r="K31" s="2" t="n"/>
      <c r="L31" s="2" t="n"/>
    </row>
    <row r="32">
      <c r="A32" s="3" t="n">
        <v>24</v>
      </c>
      <c r="B32" s="3" t="inlineStr"/>
      <c r="C32" s="8" t="n">
        <v>0</v>
      </c>
      <c r="D32" s="8" t="n">
        <v>0</v>
      </c>
      <c r="E32" s="3" t="n">
        <v>0</v>
      </c>
      <c r="F32" s="3" t="n"/>
      <c r="G32" s="9">
        <f>C32+D32</f>
        <v/>
      </c>
      <c r="H32" s="3" t="n"/>
      <c r="I32" s="3" t="n"/>
      <c r="J32" s="3" t="n"/>
      <c r="K32" s="3" t="n"/>
      <c r="L32" s="3" t="n"/>
    </row>
    <row r="33">
      <c r="A33" s="2" t="n">
        <v>25</v>
      </c>
      <c r="B33" s="2" t="inlineStr"/>
      <c r="C33" s="5" t="n">
        <v>0</v>
      </c>
      <c r="D33" s="5" t="n">
        <v>0</v>
      </c>
      <c r="E33" s="2" t="n">
        <v>0</v>
      </c>
      <c r="F33" s="2" t="n"/>
      <c r="G33" s="6">
        <f>C33+D33</f>
        <v/>
      </c>
      <c r="H33" s="2" t="n"/>
      <c r="I33" s="2" t="n"/>
      <c r="J33" s="2" t="n"/>
      <c r="K33" s="2" t="n"/>
      <c r="L33" s="2" t="n"/>
    </row>
    <row r="34">
      <c r="A34" s="3" t="n">
        <v>26</v>
      </c>
      <c r="B34" s="3" t="inlineStr"/>
      <c r="C34" s="8" t="n">
        <v>0</v>
      </c>
      <c r="D34" s="8" t="n">
        <v>0</v>
      </c>
      <c r="E34" s="3" t="n">
        <v>0</v>
      </c>
      <c r="F34" s="3" t="n"/>
      <c r="G34" s="9">
        <f>C34+D34</f>
        <v/>
      </c>
      <c r="H34" s="3" t="n"/>
      <c r="I34" s="3" t="n"/>
      <c r="J34" s="3" t="n"/>
      <c r="K34" s="3" t="n"/>
      <c r="L34" s="3" t="n"/>
    </row>
    <row r="35">
      <c r="A35" s="2" t="n">
        <v>27</v>
      </c>
      <c r="B35" s="2" t="inlineStr"/>
      <c r="C35" s="5" t="n">
        <v>0</v>
      </c>
      <c r="D35" s="5" t="n">
        <v>0</v>
      </c>
      <c r="E35" s="2" t="n">
        <v>0</v>
      </c>
      <c r="F35" s="2" t="n"/>
      <c r="G35" s="6">
        <f>C35+D35</f>
        <v/>
      </c>
      <c r="H35" s="2" t="n"/>
      <c r="I35" s="2" t="n"/>
      <c r="J35" s="2" t="n"/>
      <c r="K35" s="2" t="n"/>
      <c r="L35" s="2" t="n"/>
    </row>
    <row r="36">
      <c r="A36" s="3" t="n">
        <v>28</v>
      </c>
      <c r="B36" s="3" t="inlineStr"/>
      <c r="C36" s="8" t="n">
        <v>0</v>
      </c>
      <c r="D36" s="8" t="n">
        <v>0</v>
      </c>
      <c r="E36" s="3" t="n">
        <v>0</v>
      </c>
      <c r="F36" s="3" t="n"/>
      <c r="G36" s="9">
        <f>C36+D36</f>
        <v/>
      </c>
      <c r="H36" s="3" t="n"/>
      <c r="I36" s="3" t="n"/>
      <c r="J36" s="3" t="n"/>
      <c r="K36" s="3" t="n"/>
      <c r="L36" s="3" t="n"/>
    </row>
    <row r="37">
      <c r="A37" s="2" t="n">
        <v>29</v>
      </c>
      <c r="B37" s="2" t="inlineStr"/>
      <c r="C37" s="5" t="n">
        <v>0</v>
      </c>
      <c r="D37" s="5" t="n">
        <v>0</v>
      </c>
      <c r="E37" s="2" t="n">
        <v>0</v>
      </c>
      <c r="F37" s="2" t="n"/>
      <c r="G37" s="6">
        <f>C37+D37</f>
        <v/>
      </c>
      <c r="H37" s="2" t="n"/>
      <c r="I37" s="2" t="n"/>
      <c r="J37" s="2" t="n"/>
      <c r="K37" s="2" t="n"/>
      <c r="L37" s="2" t="n"/>
    </row>
    <row r="38">
      <c r="A38" s="3" t="n">
        <v>30</v>
      </c>
      <c r="B38" s="3" t="inlineStr"/>
      <c r="C38" s="8" t="n">
        <v>0</v>
      </c>
      <c r="D38" s="8" t="n">
        <v>0</v>
      </c>
      <c r="E38" s="3" t="n">
        <v>0</v>
      </c>
      <c r="F38" s="3" t="n"/>
      <c r="G38" s="9">
        <f>C38+D38</f>
        <v/>
      </c>
      <c r="H38" s="3" t="n"/>
      <c r="I38" s="3" t="n"/>
      <c r="J38" s="3" t="n"/>
      <c r="K38" s="3" t="n"/>
      <c r="L38" s="3" t="n"/>
    </row>
    <row r="39">
      <c r="A39" s="2" t="n">
        <v>31</v>
      </c>
      <c r="B39" s="2" t="inlineStr"/>
      <c r="C39" s="5" t="n">
        <v>0</v>
      </c>
      <c r="D39" s="5" t="n">
        <v>0</v>
      </c>
      <c r="E39" s="2" t="n">
        <v>0</v>
      </c>
      <c r="F39" s="2" t="n"/>
      <c r="G39" s="6">
        <f>C39+D39</f>
        <v/>
      </c>
      <c r="H39" s="2" t="n"/>
      <c r="I39" s="2" t="n"/>
      <c r="J39" s="2" t="n"/>
      <c r="K39" s="2" t="n"/>
      <c r="L39" s="2" t="n"/>
    </row>
    <row r="40">
      <c r="A40" s="3" t="n">
        <v>32</v>
      </c>
      <c r="B40" s="3" t="inlineStr"/>
      <c r="C40" s="8" t="n">
        <v>0</v>
      </c>
      <c r="D40" s="8" t="n">
        <v>0</v>
      </c>
      <c r="E40" s="3" t="n">
        <v>0</v>
      </c>
      <c r="F40" s="3" t="n"/>
      <c r="G40" s="9">
        <f>C40+D40</f>
        <v/>
      </c>
      <c r="H40" s="3" t="n"/>
      <c r="I40" s="3" t="n"/>
      <c r="J40" s="3" t="n"/>
      <c r="K40" s="3" t="n"/>
      <c r="L40" s="3" t="n"/>
    </row>
    <row r="41">
      <c r="A41" s="2" t="n">
        <v>33</v>
      </c>
      <c r="B41" s="2" t="inlineStr"/>
      <c r="C41" s="5" t="n">
        <v>0</v>
      </c>
      <c r="D41" s="5" t="n">
        <v>0</v>
      </c>
      <c r="E41" s="2" t="n">
        <v>0</v>
      </c>
      <c r="F41" s="2" t="n"/>
      <c r="G41" s="6">
        <f>C41+D41</f>
        <v/>
      </c>
      <c r="H41" s="2" t="n"/>
      <c r="I41" s="2" t="n"/>
      <c r="J41" s="2" t="n"/>
      <c r="K41" s="2" t="n"/>
      <c r="L41" s="2" t="n"/>
    </row>
    <row r="42">
      <c r="A42" s="3" t="n">
        <v>34</v>
      </c>
      <c r="B42" s="3" t="inlineStr"/>
      <c r="C42" s="8" t="n">
        <v>0</v>
      </c>
      <c r="D42" s="8" t="n">
        <v>0</v>
      </c>
      <c r="E42" s="3" t="n">
        <v>0</v>
      </c>
      <c r="F42" s="3" t="n"/>
      <c r="G42" s="9">
        <f>C42+D42</f>
        <v/>
      </c>
      <c r="H42" s="3" t="n"/>
      <c r="I42" s="3" t="n"/>
      <c r="J42" s="3" t="n"/>
      <c r="K42" s="3" t="n"/>
      <c r="L42" s="3" t="n"/>
    </row>
    <row r="43">
      <c r="A43" s="2" t="n">
        <v>35</v>
      </c>
      <c r="B43" s="2" t="inlineStr"/>
      <c r="C43" s="5" t="n">
        <v>0</v>
      </c>
      <c r="D43" s="5" t="n">
        <v>0</v>
      </c>
      <c r="E43" s="2" t="n">
        <v>0</v>
      </c>
      <c r="F43" s="2" t="n"/>
      <c r="G43" s="6">
        <f>C43+D43</f>
        <v/>
      </c>
      <c r="H43" s="2" t="n"/>
      <c r="I43" s="2" t="n"/>
      <c r="J43" s="2" t="n"/>
      <c r="K43" s="2" t="n"/>
      <c r="L43" s="2" t="n"/>
    </row>
    <row r="44">
      <c r="A44" s="3" t="n">
        <v>36</v>
      </c>
      <c r="B44" s="3" t="inlineStr"/>
      <c r="C44" s="8" t="n">
        <v>0</v>
      </c>
      <c r="D44" s="8" t="n">
        <v>0</v>
      </c>
      <c r="E44" s="3" t="n">
        <v>0</v>
      </c>
      <c r="F44" s="3" t="n"/>
      <c r="G44" s="9">
        <f>C44+D44</f>
        <v/>
      </c>
      <c r="H44" s="3" t="n"/>
      <c r="I44" s="3" t="n"/>
      <c r="J44" s="3" t="n"/>
      <c r="K44" s="3" t="n"/>
      <c r="L44" s="3" t="n"/>
    </row>
    <row r="45">
      <c r="A45" s="2" t="n">
        <v>37</v>
      </c>
      <c r="B45" s="2" t="inlineStr"/>
      <c r="C45" s="5" t="n">
        <v>0</v>
      </c>
      <c r="D45" s="5" t="n">
        <v>0</v>
      </c>
      <c r="E45" s="2" t="n">
        <v>0</v>
      </c>
      <c r="F45" s="2" t="n"/>
      <c r="G45" s="6">
        <f>C45+D45</f>
        <v/>
      </c>
      <c r="H45" s="2" t="n"/>
      <c r="I45" s="2" t="n"/>
      <c r="J45" s="2" t="n"/>
      <c r="K45" s="2" t="n"/>
      <c r="L45" s="2" t="n"/>
    </row>
    <row r="46">
      <c r="A46" s="3" t="n">
        <v>38</v>
      </c>
      <c r="B46" s="3" t="inlineStr"/>
      <c r="C46" s="8" t="n">
        <v>0</v>
      </c>
      <c r="D46" s="8" t="n">
        <v>0</v>
      </c>
      <c r="E46" s="3" t="n">
        <v>0</v>
      </c>
      <c r="F46" s="3" t="n"/>
      <c r="G46" s="9">
        <f>C46+D46</f>
        <v/>
      </c>
      <c r="H46" s="3" t="n"/>
      <c r="I46" s="3" t="n"/>
      <c r="J46" s="3" t="n"/>
      <c r="K46" s="3" t="n"/>
      <c r="L46" s="3" t="n"/>
    </row>
    <row r="47">
      <c r="A47" s="2" t="n">
        <v>39</v>
      </c>
      <c r="B47" s="2" t="inlineStr"/>
      <c r="C47" s="5" t="n">
        <v>0</v>
      </c>
      <c r="D47" s="5" t="n">
        <v>0</v>
      </c>
      <c r="E47" s="2" t="n">
        <v>0</v>
      </c>
      <c r="F47" s="2" t="n"/>
      <c r="G47" s="6">
        <f>C47+D47</f>
        <v/>
      </c>
      <c r="H47" s="2" t="n"/>
      <c r="I47" s="2" t="n"/>
      <c r="J47" s="2" t="n"/>
      <c r="K47" s="2" t="n"/>
      <c r="L47" s="2" t="n"/>
    </row>
    <row r="48">
      <c r="A48" s="3" t="n">
        <v>40</v>
      </c>
      <c r="B48" s="3" t="inlineStr"/>
      <c r="C48" s="8" t="n">
        <v>0</v>
      </c>
      <c r="D48" s="8" t="n">
        <v>0</v>
      </c>
      <c r="E48" s="3" t="n">
        <v>0</v>
      </c>
      <c r="F48" s="3" t="n"/>
      <c r="G48" s="9">
        <f>C48+D48</f>
        <v/>
      </c>
      <c r="H48" s="3" t="n"/>
      <c r="I48" s="3" t="n"/>
      <c r="J48" s="3" t="n"/>
      <c r="K48" s="3" t="n"/>
      <c r="L48" s="3" t="n"/>
    </row>
    <row r="49">
      <c r="A49" s="2" t="n">
        <v>41</v>
      </c>
      <c r="B49" s="2" t="inlineStr"/>
      <c r="C49" s="5" t="n">
        <v>0</v>
      </c>
      <c r="D49" s="5" t="n">
        <v>0</v>
      </c>
      <c r="E49" s="2" t="n">
        <v>0</v>
      </c>
      <c r="F49" s="2" t="n"/>
      <c r="G49" s="6">
        <f>C49+D49</f>
        <v/>
      </c>
      <c r="H49" s="2" t="n"/>
      <c r="I49" s="2" t="n"/>
      <c r="J49" s="2" t="n"/>
      <c r="K49" s="2" t="n"/>
      <c r="L49" s="2" t="n"/>
    </row>
    <row r="50">
      <c r="A50" s="3" t="n">
        <v>42</v>
      </c>
      <c r="B50" s="3" t="inlineStr"/>
      <c r="C50" s="8" t="n">
        <v>0</v>
      </c>
      <c r="D50" s="8" t="n">
        <v>0</v>
      </c>
      <c r="E50" s="3" t="n">
        <v>0</v>
      </c>
      <c r="F50" s="3" t="n"/>
      <c r="G50" s="9">
        <f>C50+D50</f>
        <v/>
      </c>
      <c r="H50" s="3" t="n"/>
      <c r="I50" s="3" t="n"/>
      <c r="J50" s="3" t="n"/>
      <c r="K50" s="3" t="n"/>
      <c r="L50" s="3" t="n"/>
    </row>
    <row r="51">
      <c r="A51" s="2" t="n">
        <v>43</v>
      </c>
      <c r="B51" s="2" t="inlineStr"/>
      <c r="C51" s="5" t="n">
        <v>0</v>
      </c>
      <c r="D51" s="5" t="n">
        <v>0</v>
      </c>
      <c r="E51" s="2" t="n">
        <v>0</v>
      </c>
      <c r="F51" s="2" t="n"/>
      <c r="G51" s="6">
        <f>C51+D51</f>
        <v/>
      </c>
      <c r="H51" s="2" t="n"/>
      <c r="I51" s="2" t="n"/>
      <c r="J51" s="2" t="n"/>
      <c r="K51" s="2" t="n"/>
      <c r="L51" s="2" t="n"/>
    </row>
    <row r="52">
      <c r="A52" s="3" t="n">
        <v>44</v>
      </c>
      <c r="B52" s="3" t="inlineStr"/>
      <c r="C52" s="8" t="n">
        <v>0</v>
      </c>
      <c r="D52" s="8" t="n">
        <v>0</v>
      </c>
      <c r="E52" s="3" t="n">
        <v>0</v>
      </c>
      <c r="F52" s="3" t="n"/>
      <c r="G52" s="9">
        <f>C52+D52</f>
        <v/>
      </c>
      <c r="H52" s="3" t="n"/>
      <c r="I52" s="3" t="n"/>
      <c r="J52" s="3" t="n"/>
      <c r="K52" s="3" t="n"/>
      <c r="L52" s="3" t="n"/>
    </row>
    <row r="53">
      <c r="A53" s="2" t="n">
        <v>45</v>
      </c>
      <c r="B53" s="2" t="inlineStr"/>
      <c r="C53" s="5" t="n">
        <v>0</v>
      </c>
      <c r="D53" s="5" t="n">
        <v>0</v>
      </c>
      <c r="E53" s="2" t="n">
        <v>0</v>
      </c>
      <c r="F53" s="2" t="n"/>
      <c r="G53" s="6">
        <f>C53+D53</f>
        <v/>
      </c>
      <c r="H53" s="2" t="n"/>
      <c r="I53" s="2" t="n"/>
      <c r="J53" s="2" t="n"/>
      <c r="K53" s="2" t="n"/>
      <c r="L53" s="2" t="n"/>
    </row>
    <row r="54">
      <c r="A54" s="3" t="n">
        <v>46</v>
      </c>
      <c r="B54" s="3" t="inlineStr"/>
      <c r="C54" s="8" t="n">
        <v>0</v>
      </c>
      <c r="D54" s="8" t="n">
        <v>0</v>
      </c>
      <c r="E54" s="3" t="n">
        <v>0</v>
      </c>
      <c r="F54" s="3" t="n"/>
      <c r="G54" s="9">
        <f>C54+D54</f>
        <v/>
      </c>
      <c r="H54" s="3" t="n"/>
      <c r="I54" s="3" t="n"/>
      <c r="J54" s="3" t="n"/>
      <c r="K54" s="3" t="n"/>
      <c r="L54" s="3" t="n"/>
    </row>
    <row r="55">
      <c r="A55" s="2" t="n">
        <v>47</v>
      </c>
      <c r="B55" s="2" t="inlineStr"/>
      <c r="C55" s="5" t="n">
        <v>0</v>
      </c>
      <c r="D55" s="5" t="n">
        <v>0</v>
      </c>
      <c r="E55" s="2" t="n">
        <v>0</v>
      </c>
      <c r="F55" s="2" t="n"/>
      <c r="G55" s="6">
        <f>C55+D55</f>
        <v/>
      </c>
      <c r="H55" s="2" t="n"/>
      <c r="I55" s="2" t="n"/>
      <c r="J55" s="2" t="n"/>
      <c r="K55" s="2" t="n"/>
      <c r="L55" s="2" t="n"/>
    </row>
    <row r="56">
      <c r="A56" s="3" t="n">
        <v>48</v>
      </c>
      <c r="B56" s="3" t="inlineStr"/>
      <c r="C56" s="8" t="n">
        <v>0</v>
      </c>
      <c r="D56" s="8" t="n">
        <v>0</v>
      </c>
      <c r="E56" s="3" t="n">
        <v>0</v>
      </c>
      <c r="F56" s="3" t="n"/>
      <c r="G56" s="9">
        <f>C56+D56</f>
        <v/>
      </c>
      <c r="H56" s="3" t="n"/>
      <c r="I56" s="3" t="n"/>
      <c r="J56" s="3" t="n"/>
      <c r="K56" s="3" t="n"/>
      <c r="L56" s="3" t="n"/>
    </row>
    <row r="57">
      <c r="A57" s="2" t="n">
        <v>49</v>
      </c>
      <c r="B57" s="2" t="inlineStr"/>
      <c r="C57" s="5" t="n">
        <v>0</v>
      </c>
      <c r="D57" s="5" t="n">
        <v>0</v>
      </c>
      <c r="E57" s="2" t="n">
        <v>0</v>
      </c>
      <c r="F57" s="2" t="n"/>
      <c r="G57" s="6">
        <f>C57+D57</f>
        <v/>
      </c>
      <c r="H57" s="2" t="n"/>
      <c r="I57" s="2" t="n"/>
      <c r="J57" s="2" t="n"/>
      <c r="K57" s="2" t="n"/>
      <c r="L57" s="2" t="n"/>
    </row>
    <row r="58">
      <c r="A58" s="3" t="n">
        <v>50</v>
      </c>
      <c r="B58" s="3" t="inlineStr"/>
      <c r="C58" s="8" t="n">
        <v>0</v>
      </c>
      <c r="D58" s="8" t="n">
        <v>0</v>
      </c>
      <c r="E58" s="3" t="n">
        <v>0</v>
      </c>
      <c r="F58" s="3" t="n"/>
      <c r="G58" s="9">
        <f>C58+D58</f>
        <v/>
      </c>
      <c r="H58" s="3" t="n"/>
      <c r="I58" s="3" t="n"/>
      <c r="J58" s="3" t="n"/>
      <c r="K58" s="3" t="n"/>
      <c r="L58" s="3" t="n"/>
    </row>
    <row r="59">
      <c r="A59" s="2" t="n"/>
      <c r="B59" s="2" t="inlineStr">
        <is>
          <t>TOPLAM</t>
        </is>
      </c>
      <c r="C59" s="10">
        <f>SUM(C9:C58)</f>
        <v/>
      </c>
      <c r="D59" s="10">
        <f>SUM(D9:D58)</f>
        <v/>
      </c>
      <c r="E59" s="10">
        <f>SUM(E9:E58)</f>
        <v/>
      </c>
      <c r="F59" s="2" t="n"/>
      <c r="G59" s="10">
        <f>SUM(G9:G58)</f>
        <v/>
      </c>
      <c r="H59" s="2" t="n"/>
      <c r="I59" s="2" t="n"/>
      <c r="J59" s="2" t="n"/>
      <c r="K59" s="2" t="n"/>
      <c r="L59" s="2" t="n"/>
    </row>
  </sheetData>
  <autoFilter ref="A8:G58"/>
  <mergeCells count="1">
    <mergeCell ref="A1:H2"/>
  </mergeCells>
  <dataValidations count="5">
    <dataValidation sqref="C9:D58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  <dataValidation sqref="E9:E58" showDropDown="0" showInputMessage="0" showErrorMessage="1" allowBlank="0" errorTitle="Geçersiz giriş" error="Sıfır veya daha büyük, geçerli bir değer girin." type="whole" errorStyle="stop" operator="between">
      <formula1>0</formula1>
      <formula2>31</formula2>
    </dataValidation>
    <dataValidation sqref="K9:K13 K17:K18" showDropDown="0" showInputMessage="0" showErrorMessage="1" allowBlank="0" errorTitle="Geçersiz giriş" error="Sıfır veya daha büyük, geçerli bir değer girin." type="decimal" errorStyle="stop" operator="between">
      <formula1>0</formula1>
      <formula2>100</formula2>
    </dataValidation>
    <dataValidation sqref="K14:K15" showDropDown="0" showInputMessage="0" showErrorMessage="1" allowBlank="0" errorTitle="Geçersiz giriş" error="Sıfır veya daha büyük, geçerli bir değer girin." type="whole" errorStyle="stop" operator="between">
      <formula1>0</formula1>
      <formula2>1</formula2>
    </dataValidation>
    <dataValidation sqref="B4" showDropDown="0" showInputMessage="0" showErrorMessage="1" allowBlank="0" errorTitle="Geçersiz giriş" error="Sıfır veya daha büyük, geçerli bir değer girin." type="decimal" errorStyle="stop" operator="between">
      <formula1>0</formula1>
      <formula2>1000000000</formula2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2026-10-08T07:11:01Z</dcterms:created>
  <dcterms:modified xmlns:dcterms="http://purl.org/dc/terms/" xmlns:xsi="http://www.w3.org/2001/XMLSchema-instance" xsi:type="dcterms:W3CDTF">2026-10-08T07:11:02Z</dcterms:modified>
</cp:coreProperties>
</file>